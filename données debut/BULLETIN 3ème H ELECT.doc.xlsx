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05" windowWidth="14055" windowHeight="4635" activeTab="2"/>
  </bookViews>
  <sheets>
    <sheet name="Feuil1" sheetId="1" r:id="rId1"/>
    <sheet name="LISTE DES ELEVES" sheetId="2" r:id="rId2"/>
    <sheet name="Feuil3" sheetId="3" r:id="rId3"/>
    <sheet name="Feuil2" sheetId="4" r:id="rId4"/>
  </sheets>
  <definedNames>
    <definedName name="I" localSheetId="1" xml:space="preserve"> DES 'LISTE DES ELEVES'!$A$3:$A$10</definedName>
    <definedName name="LISTE" localSheetId="1">'LISTE DES ELEVES'!$A$3:$A$7</definedName>
    <definedName name="NOM" localSheetId="1">'LISTE DES ELEVES'!$A$21</definedName>
  </definedNames>
  <calcPr calcId="124519"/>
</workbook>
</file>

<file path=xl/calcChain.xml><?xml version="1.0" encoding="utf-8"?>
<calcChain xmlns="http://schemas.openxmlformats.org/spreadsheetml/2006/main">
  <c r="B27" i="3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B4"/>
  <c r="I28" i="1" l="1"/>
  <c r="N5"/>
  <c r="G7"/>
  <c r="A5" i="3" s="1"/>
  <c r="G6" i="1"/>
  <c r="G43"/>
  <c r="G42"/>
  <c r="F43"/>
  <c r="F42"/>
  <c r="C43"/>
  <c r="C42"/>
  <c r="B43"/>
  <c r="C26" i="3" s="1"/>
  <c r="B42" i="1"/>
  <c r="C25" i="3" s="1"/>
  <c r="H39" i="1"/>
  <c r="H38"/>
  <c r="G39"/>
  <c r="G38"/>
  <c r="F39"/>
  <c r="F38"/>
  <c r="D39"/>
  <c r="D38"/>
  <c r="C39"/>
  <c r="C38"/>
  <c r="B39"/>
  <c r="C24" i="3" s="1"/>
  <c r="B38" i="1"/>
  <c r="C23" i="3" s="1"/>
  <c r="H34" i="1"/>
  <c r="H33"/>
  <c r="H32"/>
  <c r="G34"/>
  <c r="G33"/>
  <c r="G32"/>
  <c r="F34"/>
  <c r="F33"/>
  <c r="F32"/>
  <c r="D34"/>
  <c r="D33"/>
  <c r="D32"/>
  <c r="C34"/>
  <c r="C33"/>
  <c r="C32"/>
  <c r="B34"/>
  <c r="C22" i="3" s="1"/>
  <c r="B33" i="1"/>
  <c r="C21" i="3" s="1"/>
  <c r="B32" i="1"/>
  <c r="C20" i="3" s="1"/>
  <c r="E31" i="1"/>
  <c r="H30"/>
  <c r="G30"/>
  <c r="F30"/>
  <c r="D30"/>
  <c r="C30"/>
  <c r="B30"/>
  <c r="C19" i="3" s="1"/>
  <c r="H24" i="1"/>
  <c r="H23"/>
  <c r="H22"/>
  <c r="G24"/>
  <c r="G23"/>
  <c r="G22"/>
  <c r="F24"/>
  <c r="F23"/>
  <c r="F22"/>
  <c r="D24"/>
  <c r="D23"/>
  <c r="D22"/>
  <c r="C24"/>
  <c r="C23"/>
  <c r="C22"/>
  <c r="B24"/>
  <c r="C18" i="3" s="1"/>
  <c r="B23" i="1"/>
  <c r="C17" i="3" s="1"/>
  <c r="B22" i="1"/>
  <c r="C16" i="3" s="1"/>
  <c r="H21" i="1"/>
  <c r="G21"/>
  <c r="F21"/>
  <c r="D21"/>
  <c r="C21"/>
  <c r="H20"/>
  <c r="G20"/>
  <c r="F20"/>
  <c r="D20"/>
  <c r="C20"/>
  <c r="H19"/>
  <c r="G19"/>
  <c r="F19"/>
  <c r="D19"/>
  <c r="C19"/>
  <c r="H18"/>
  <c r="G18"/>
  <c r="F18"/>
  <c r="D18"/>
  <c r="C18"/>
  <c r="H16"/>
  <c r="G16"/>
  <c r="F16"/>
  <c r="D16"/>
  <c r="C16"/>
  <c r="H15"/>
  <c r="G15"/>
  <c r="F15"/>
  <c r="D15"/>
  <c r="C15"/>
  <c r="H14"/>
  <c r="G14"/>
  <c r="F14"/>
  <c r="D14"/>
  <c r="C14"/>
  <c r="B21"/>
  <c r="C15" i="3" s="1"/>
  <c r="B20" i="1"/>
  <c r="C14" i="3" s="1"/>
  <c r="B19" i="1"/>
  <c r="C13" i="3" s="1"/>
  <c r="B18" i="1"/>
  <c r="C12" i="3" s="1"/>
  <c r="B16" i="1"/>
  <c r="C11" i="3" s="1"/>
  <c r="B14" i="1"/>
  <c r="C9" i="3" s="1"/>
  <c r="B15" i="1"/>
  <c r="C10" i="3" s="1"/>
  <c r="G44" i="1"/>
  <c r="F44"/>
  <c r="A39"/>
  <c r="D44"/>
  <c r="B44"/>
  <c r="A43"/>
  <c r="A42"/>
  <c r="A38"/>
  <c r="A34"/>
  <c r="A33"/>
  <c r="A32"/>
  <c r="A30"/>
  <c r="A24"/>
  <c r="A23"/>
  <c r="A22"/>
  <c r="A21"/>
  <c r="A20"/>
  <c r="A19"/>
  <c r="A18"/>
  <c r="A16"/>
  <c r="A15"/>
  <c r="A14"/>
  <c r="J44"/>
  <c r="I44"/>
  <c r="H44"/>
  <c r="E44"/>
  <c r="C44"/>
  <c r="I36"/>
  <c r="E36"/>
  <c r="E35"/>
  <c r="E28"/>
  <c r="I27"/>
  <c r="E27"/>
  <c r="I26"/>
  <c r="E26"/>
  <c r="E25"/>
  <c r="B45" l="1"/>
  <c r="C28" i="3" s="1"/>
  <c r="I30" i="1"/>
  <c r="I31"/>
  <c r="J31" s="1"/>
  <c r="I25"/>
  <c r="J25" s="1"/>
  <c r="I35"/>
  <c r="J35" s="1"/>
  <c r="J26"/>
  <c r="J27"/>
  <c r="J28"/>
  <c r="J36"/>
  <c r="E32" l="1"/>
  <c r="I43"/>
  <c r="I15"/>
  <c r="E18"/>
  <c r="E24"/>
  <c r="I21"/>
  <c r="E21"/>
  <c r="D45"/>
  <c r="D46" s="1"/>
  <c r="E20"/>
  <c r="E38"/>
  <c r="E30"/>
  <c r="J30" s="1"/>
  <c r="I34"/>
  <c r="E19"/>
  <c r="E22"/>
  <c r="I16"/>
  <c r="E39"/>
  <c r="I22"/>
  <c r="E15"/>
  <c r="B46"/>
  <c r="C31" i="3" s="1"/>
  <c r="E42" i="1"/>
  <c r="I18"/>
  <c r="I33"/>
  <c r="E16"/>
  <c r="E14"/>
  <c r="I39"/>
  <c r="E23"/>
  <c r="I23"/>
  <c r="I42"/>
  <c r="C45"/>
  <c r="C46" s="1"/>
  <c r="E34"/>
  <c r="I20"/>
  <c r="G45"/>
  <c r="G46" s="1"/>
  <c r="I24"/>
  <c r="H45"/>
  <c r="H46" s="1"/>
  <c r="F45"/>
  <c r="F46" s="1"/>
  <c r="I14"/>
  <c r="I38"/>
  <c r="I32"/>
  <c r="E33"/>
  <c r="E43"/>
  <c r="I19"/>
  <c r="J24" l="1"/>
  <c r="J32"/>
  <c r="J16"/>
  <c r="J43"/>
  <c r="J21"/>
  <c r="J38"/>
  <c r="J18"/>
  <c r="J15"/>
  <c r="J22"/>
  <c r="J33"/>
  <c r="J14"/>
  <c r="J39"/>
  <c r="J20"/>
  <c r="J42"/>
  <c r="J34"/>
  <c r="J23"/>
  <c r="E45"/>
  <c r="E46" s="1"/>
  <c r="I45"/>
  <c r="I46" s="1"/>
  <c r="J19"/>
  <c r="J45" l="1"/>
  <c r="J46" s="1"/>
</calcChain>
</file>

<file path=xl/sharedStrings.xml><?xml version="1.0" encoding="utf-8"?>
<sst xmlns="http://schemas.openxmlformats.org/spreadsheetml/2006/main" count="510" uniqueCount="232">
  <si>
    <t>SEXE</t>
  </si>
  <si>
    <t>LIEU ET DATE DE NAISSANCE</t>
  </si>
  <si>
    <t>CLASSE</t>
  </si>
  <si>
    <t>ECOLE</t>
  </si>
  <si>
    <t>1er P10</t>
  </si>
  <si>
    <t>REPUBLIQUE DEMOCRATIQUE DU CONGO</t>
  </si>
  <si>
    <t>N°ID</t>
  </si>
  <si>
    <t>PROVINCE KWILU</t>
  </si>
  <si>
    <t xml:space="preserve"> NE (E)………………………LE …./……./………</t>
  </si>
  <si>
    <t>CLASSE……………………………………………….</t>
  </si>
  <si>
    <t>CODE</t>
  </si>
  <si>
    <t>N° PERM. :</t>
  </si>
  <si>
    <t>BRANCHES</t>
  </si>
  <si>
    <t>PREMIER SEMESTRE</t>
  </si>
  <si>
    <t>SECOND SEMESTRE</t>
  </si>
  <si>
    <t>T.G</t>
  </si>
  <si>
    <t>EXAM DE R</t>
  </si>
  <si>
    <t>TR. JOURNAL</t>
  </si>
  <si>
    <t>EXAM</t>
  </si>
  <si>
    <t>TOT</t>
  </si>
  <si>
    <t>1ère P</t>
  </si>
  <si>
    <t>2e P</t>
  </si>
  <si>
    <t>3ère P</t>
  </si>
  <si>
    <t>‰</t>
  </si>
  <si>
    <t>SIGN. P</t>
  </si>
  <si>
    <t>MAXIMA</t>
  </si>
  <si>
    <t>Atelier Electricite</t>
  </si>
  <si>
    <t xml:space="preserve">Labo  Electrique </t>
  </si>
  <si>
    <t xml:space="preserve">MAXIMA GEN </t>
  </si>
  <si>
    <t>TOTAUX</t>
  </si>
  <si>
    <t>Passe (1)</t>
  </si>
  <si>
    <t>POURCENTAGE</t>
  </si>
  <si>
    <t>DOUBLE (1)</t>
  </si>
  <si>
    <t>PLACE/NBR D'EL</t>
  </si>
  <si>
    <t>/</t>
  </si>
  <si>
    <t xml:space="preserve">    /</t>
  </si>
  <si>
    <t xml:space="preserve">   /</t>
  </si>
  <si>
    <t>A échoué (1)</t>
  </si>
  <si>
    <t>APPLICATION</t>
  </si>
  <si>
    <t>le …/…/…</t>
  </si>
  <si>
    <t>CONDUITE</t>
  </si>
  <si>
    <t>Le chef de l'Etab</t>
  </si>
  <si>
    <t>SIGN. DU RESPO</t>
  </si>
  <si>
    <t>Sceau de l'école</t>
  </si>
  <si>
    <t>L'élève ne pourra passer dans la classe supérieure s'il n'a subi avec succes un examen de reprechage en …………………..</t>
  </si>
  <si>
    <t>………………………………………………………………………………………………………………………………………………………………………(1)</t>
  </si>
  <si>
    <t>L'élève passe dans la classe supérieure (1)</t>
  </si>
  <si>
    <t>L'élèveve double la classe (1)</t>
  </si>
  <si>
    <t>L'élève a échoué et est à réorienter vers ………………..(1)</t>
  </si>
  <si>
    <t>Fait à…………………le ……….</t>
  </si>
  <si>
    <t>Signature de l'élève</t>
  </si>
  <si>
    <t>Le Chef d'Etablissement,</t>
  </si>
  <si>
    <t>Nom et SIGNATURE</t>
  </si>
  <si>
    <t>(1) Biffer la mention inutile</t>
  </si>
  <si>
    <t>Note importante : le bulletin est sans valeur s'il est raturé ou surchargé</t>
  </si>
  <si>
    <t>IGE/P.S/014</t>
  </si>
  <si>
    <t>ECOLE : I.T.P MOSALA</t>
  </si>
  <si>
    <t>VILLE : BANDUNDU</t>
  </si>
  <si>
    <t>COMMUNE / TER (1) : BASOKO</t>
  </si>
  <si>
    <t>BULLETIN DE LA 3éme HUMANITE ELECTRICITE       ANNEE SCOLAIRE  2025 - 2026</t>
  </si>
  <si>
    <t>MINISTERE DE L'EDUCATION NATIONALE ET NOUVELLE CITOYENNETE</t>
  </si>
  <si>
    <t>2è P 10</t>
  </si>
  <si>
    <t>EX20</t>
  </si>
  <si>
    <t>3èP10</t>
  </si>
  <si>
    <t>4èP10</t>
  </si>
  <si>
    <t>CIVISME</t>
  </si>
  <si>
    <t>RELIGION</t>
  </si>
  <si>
    <t>1er P20</t>
  </si>
  <si>
    <t>2è P 20</t>
  </si>
  <si>
    <t>EX40</t>
  </si>
  <si>
    <t>3èP20</t>
  </si>
  <si>
    <t>4èP20</t>
  </si>
  <si>
    <t>1er P40</t>
  </si>
  <si>
    <t>2è P 40</t>
  </si>
  <si>
    <t>EX80</t>
  </si>
  <si>
    <t>3èP40</t>
  </si>
  <si>
    <t>4èP40</t>
  </si>
  <si>
    <t>1er P50</t>
  </si>
  <si>
    <t>2è P 50</t>
  </si>
  <si>
    <t>EX100</t>
  </si>
  <si>
    <t>3èP50</t>
  </si>
  <si>
    <t>4èP50</t>
  </si>
  <si>
    <t>1er P100</t>
  </si>
  <si>
    <t>2è P 100</t>
  </si>
  <si>
    <t>3èP100</t>
  </si>
  <si>
    <t>4èP100</t>
  </si>
  <si>
    <t>F</t>
  </si>
  <si>
    <t>M</t>
  </si>
  <si>
    <t>KINSHASA, Le 09/09/2008</t>
  </si>
  <si>
    <t>ITP MOSALA</t>
  </si>
  <si>
    <t xml:space="preserve">NOM ET POST-NOM : </t>
  </si>
  <si>
    <t>NOM ET POST-NOM</t>
  </si>
  <si>
    <t>4éP</t>
  </si>
  <si>
    <t xml:space="preserve">EBGOLO NGOLA </t>
  </si>
  <si>
    <t xml:space="preserve">ILUNGA LUNGILA </t>
  </si>
  <si>
    <t xml:space="preserve">IZEY KAYIBA </t>
  </si>
  <si>
    <t>KAPALATI MAYIMI</t>
  </si>
  <si>
    <t xml:space="preserve">KIANGEBENI MBUTA </t>
  </si>
  <si>
    <t xml:space="preserve">KIBWILA MBO </t>
  </si>
  <si>
    <t>KILOLO FALANGA</t>
  </si>
  <si>
    <t xml:space="preserve">KIMBE MANKUKU </t>
  </si>
  <si>
    <t xml:space="preserve">KINIADI MBO </t>
  </si>
  <si>
    <t xml:space="preserve">KIPWELE KAMBAY </t>
  </si>
  <si>
    <t xml:space="preserve">KISANGALA DAGWIDA </t>
  </si>
  <si>
    <t xml:space="preserve">KIYE BENGA </t>
  </si>
  <si>
    <t xml:space="preserve">KUTAMEKA MAVON </t>
  </si>
  <si>
    <t xml:space="preserve">LUBIY BASALEME  </t>
  </si>
  <si>
    <t xml:space="preserve">MABANZA NDUKUMESA </t>
  </si>
  <si>
    <t>MABRIKI NGAMUZOLO</t>
  </si>
  <si>
    <t xml:space="preserve">MABULUKI VINCENT </t>
  </si>
  <si>
    <t xml:space="preserve">MAFUTA MUKUNI </t>
  </si>
  <si>
    <t xml:space="preserve">MAKIA MEFI </t>
  </si>
  <si>
    <t>MAKONO LINGIS</t>
  </si>
  <si>
    <t>MAMER LINGILINGI</t>
  </si>
  <si>
    <t>MANGANTIEME MPIA</t>
  </si>
  <si>
    <t xml:space="preserve">MANGOLONGOLO IFUNGU </t>
  </si>
  <si>
    <t>MATUNGULU ETURANGWI</t>
  </si>
  <si>
    <t xml:space="preserve">MAWETE MOKE </t>
  </si>
  <si>
    <t xml:space="preserve">MAYAMA MBO </t>
  </si>
  <si>
    <t xml:space="preserve">MAYENDE MONSENGO </t>
  </si>
  <si>
    <t>MBALANDA TANDWA</t>
  </si>
  <si>
    <t xml:space="preserve">MBILAYAMA NTANTU </t>
  </si>
  <si>
    <t xml:space="preserve">MBULU BIMA </t>
  </si>
  <si>
    <t xml:space="preserve">MBUNDI KAKUDI </t>
  </si>
  <si>
    <t xml:space="preserve">MBUYULU MUNGANZA </t>
  </si>
  <si>
    <t>MIKWIBI KABANGU</t>
  </si>
  <si>
    <t>MPAKASA NDELA</t>
  </si>
  <si>
    <t xml:space="preserve">MPETI NDIYO </t>
  </si>
  <si>
    <t xml:space="preserve">MUFOLO MUZINGA </t>
  </si>
  <si>
    <t xml:space="preserve">MUKATA NGIAY </t>
  </si>
  <si>
    <t>MUNDENDE LUYINDULA</t>
  </si>
  <si>
    <t>MUNSI WANSOME</t>
  </si>
  <si>
    <t xml:space="preserve">MUNTU MAYELE </t>
  </si>
  <si>
    <t xml:space="preserve">NDENGE MASIKINI </t>
  </si>
  <si>
    <t xml:space="preserve">NGABULU LANASA </t>
  </si>
  <si>
    <t xml:space="preserve">NGANDOY REMY </t>
  </si>
  <si>
    <t xml:space="preserve">NGAYANA MBELE </t>
  </si>
  <si>
    <t xml:space="preserve">NIOKA TSHIKAYA </t>
  </si>
  <si>
    <t>NSIBU MALUKISA</t>
  </si>
  <si>
    <t xml:space="preserve">NSIELE KASAY </t>
  </si>
  <si>
    <t>NSOME PETIT LISANGI</t>
  </si>
  <si>
    <t xml:space="preserve">NSWELE NKOSO </t>
  </si>
  <si>
    <t>NTONO MONGANA</t>
  </si>
  <si>
    <t xml:space="preserve">NZITA BANIKI </t>
  </si>
  <si>
    <t xml:space="preserve">OSEME LWAME </t>
  </si>
  <si>
    <t xml:space="preserve">OTANDEY MPIA </t>
  </si>
  <si>
    <t xml:space="preserve">SEDEKE MATUTI </t>
  </si>
  <si>
    <t xml:space="preserve">SEMEKI MUNIKISI </t>
  </si>
  <si>
    <t xml:space="preserve">SENKER NOEL </t>
  </si>
  <si>
    <t xml:space="preserve">TAMUKIEY ZABA </t>
  </si>
  <si>
    <t xml:space="preserve">TANGO MBO </t>
  </si>
  <si>
    <t xml:space="preserve">WAWA MBO </t>
  </si>
  <si>
    <t xml:space="preserve">M </t>
  </si>
  <si>
    <t>BANDUNDU, Le 21/3/2009</t>
  </si>
  <si>
    <t>BANDUNDU,Le 23/07/2007</t>
  </si>
  <si>
    <t>KINSHASA,Le 11/02/2009</t>
  </si>
  <si>
    <t>KINSHASA,Le 05/04/2009</t>
  </si>
  <si>
    <t>BANDUNDU,Le 28/03/2009</t>
  </si>
  <si>
    <t>BANDUNDU,Le 15/08/2008</t>
  </si>
  <si>
    <t>MAKINGA , Le 14/11/2006</t>
  </si>
  <si>
    <t>BANDUNDU,Le 06/09/2008</t>
  </si>
  <si>
    <t>BANDUNDU,Le 10/08/2008</t>
  </si>
  <si>
    <t>BANDUNDU,Le 17/03/2009</t>
  </si>
  <si>
    <t>MBAMPUTU,Le 04/12/2008</t>
  </si>
  <si>
    <t>BOKALA,Le 27/07/2009</t>
  </si>
  <si>
    <t>KIZIER  Le 30/06/2008</t>
  </si>
  <si>
    <t xml:space="preserve">BANDUNDU,Le </t>
  </si>
  <si>
    <t>BANDUNDU,Le 05/07/2007</t>
  </si>
  <si>
    <t>BANDUNDU,Le 06/07/2008</t>
  </si>
  <si>
    <t>BANDUNDU,Le</t>
  </si>
  <si>
    <t>BANDUNDU,Le 22/12/2008</t>
  </si>
  <si>
    <t>ISAKA,Le 13/08/2007</t>
  </si>
  <si>
    <t>BANDUNDU,Le 23/10/2008</t>
  </si>
  <si>
    <t>BANDUNDU,Le 22/06/2008</t>
  </si>
  <si>
    <t>MBWASA,Le 26/05/2008</t>
  </si>
  <si>
    <t>BANDUNDU,Le 18/04/2009</t>
  </si>
  <si>
    <t>BANDUNDU,Le 11/07/2009</t>
  </si>
  <si>
    <t>MUSHU,Le 02/03/2010</t>
  </si>
  <si>
    <t>MISAY,Le 17/11/2009</t>
  </si>
  <si>
    <t>BANDUNDU,Le 27/10/2007</t>
  </si>
  <si>
    <t>BANDUNDU,Le 27/10/2008</t>
  </si>
  <si>
    <t>BANDUNDU,Le 27/10/2009</t>
  </si>
  <si>
    <t>BANDUNDU,Le 27/10/2013</t>
  </si>
  <si>
    <t>BANDUNDU,Le 27/10/2016</t>
  </si>
  <si>
    <t>BANDUNDU,Le 27/10/2017</t>
  </si>
  <si>
    <t>3ème ELELECT</t>
  </si>
  <si>
    <t xml:space="preserve">ANGLAIS </t>
  </si>
  <si>
    <t>INFORMATIQUE</t>
  </si>
  <si>
    <t>ACTUALITE</t>
  </si>
  <si>
    <t xml:space="preserve">EDUCATION A LA VIE </t>
  </si>
  <si>
    <t>ELECTRONIQUE+ LABO</t>
  </si>
  <si>
    <t>EDUCATION  PHYSIQUE</t>
  </si>
  <si>
    <t xml:space="preserve">INSTRUMENTS </t>
  </si>
  <si>
    <t>RESISTANCE DE MATERIAUX</t>
  </si>
  <si>
    <t xml:space="preserve">DESSIN D'ELECTRIICITE </t>
  </si>
  <si>
    <t>ELECTRICITE GENERALE</t>
  </si>
  <si>
    <t xml:space="preserve">MACHINES ELECTRIQUES </t>
  </si>
  <si>
    <t xml:space="preserve">TECHNO-ELECTRICITE </t>
  </si>
  <si>
    <t xml:space="preserve">FRANCAIS  </t>
  </si>
  <si>
    <t xml:space="preserve">MATHEMATIQUE </t>
  </si>
  <si>
    <t>BANDUNDU,Le 24/06/2006</t>
  </si>
  <si>
    <t>BANDUNDU,Le 17/04/2010</t>
  </si>
  <si>
    <t>BANDUNDU,Le 30/10/2009</t>
  </si>
  <si>
    <t>MUSHIE,Le 03/09/2007</t>
  </si>
  <si>
    <t>KINSHASA ,Le 217/02/2009</t>
  </si>
  <si>
    <t>BANDUNDU,Le 15/02/2008</t>
  </si>
  <si>
    <t>BANDUNDU,Le 22/10/2008</t>
  </si>
  <si>
    <t>BANDUNDU,Le 15/01/2007</t>
  </si>
  <si>
    <t>BANDUNDU,Le 08/07/2009</t>
  </si>
  <si>
    <t>KWASA,Le 01/07/2007</t>
  </si>
  <si>
    <t>BANDUNDU,Le 25/12/2008</t>
  </si>
  <si>
    <t>BANDUNDU,Le 04/06/2007</t>
  </si>
  <si>
    <t>BANDUNDU,Le 05/08/2008</t>
  </si>
  <si>
    <t>BANDUNDU,Le 06/07/2009</t>
  </si>
  <si>
    <t>BANDUNDU,Le 30/06/2010</t>
  </si>
  <si>
    <t>KIKWIT, Le 16/08/2008</t>
  </si>
  <si>
    <t>NKWAYA ,Le 13/03/2007</t>
  </si>
  <si>
    <t>BANDUNDU,Le 21/02/2010</t>
  </si>
  <si>
    <t>BANDUNDU,Le 13/06/2009</t>
  </si>
  <si>
    <t>BANDUNDU,Le 23/08/2008</t>
  </si>
  <si>
    <t>BP : 213</t>
  </si>
  <si>
    <t>BANDUNDU</t>
  </si>
  <si>
    <t xml:space="preserve">Branches </t>
  </si>
  <si>
    <t>TR. JOUR</t>
  </si>
  <si>
    <t>Compo</t>
  </si>
  <si>
    <t>MAX</t>
  </si>
  <si>
    <r>
      <t>1</t>
    </r>
    <r>
      <rPr>
        <b/>
        <vertAlign val="superscript"/>
        <sz val="8"/>
        <color rgb="FF0070C0"/>
        <rFont val="Times New Roman"/>
        <family val="1"/>
      </rPr>
      <t xml:space="preserve">ère </t>
    </r>
    <r>
      <rPr>
        <b/>
        <sz val="8"/>
        <color rgb="FF0070C0"/>
        <rFont val="Times New Roman"/>
        <family val="1"/>
      </rPr>
      <t>p</t>
    </r>
  </si>
  <si>
    <t>sition</t>
  </si>
  <si>
    <t xml:space="preserve">MAXIMA </t>
  </si>
  <si>
    <t>MAXIMA GENERAUX</t>
  </si>
  <si>
    <t xml:space="preserve">TOTAUX </t>
  </si>
  <si>
    <t xml:space="preserve">APPLICATION 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</si>
</sst>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 Narrow"/>
      <family val="2"/>
    </font>
    <font>
      <b/>
      <sz val="9"/>
      <color theme="1"/>
      <name val="Calibri"/>
      <family val="2"/>
      <scheme val="minor"/>
    </font>
    <font>
      <sz val="8"/>
      <color rgb="FF0070C0"/>
      <name val="Times New Roman"/>
      <family val="1"/>
    </font>
    <font>
      <b/>
      <sz val="8"/>
      <color rgb="FF0070C0"/>
      <name val="Times New Roman"/>
      <family val="1"/>
    </font>
    <font>
      <sz val="8"/>
      <color rgb="FF000000"/>
      <name val="Calibri"/>
      <family val="2"/>
      <scheme val="minor"/>
    </font>
    <font>
      <b/>
      <vertAlign val="superscript"/>
      <sz val="8"/>
      <color rgb="FF0070C0"/>
      <name val="Times New Roman"/>
      <family val="1"/>
    </font>
    <font>
      <b/>
      <sz val="8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ck">
        <color auto="1"/>
      </top>
      <bottom/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1" fillId="0" borderId="5" xfId="0" applyFont="1" applyBorder="1"/>
    <xf numFmtId="0" fontId="0" fillId="0" borderId="6" xfId="0" applyBorder="1"/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8" xfId="0" applyFont="1" applyBorder="1"/>
    <xf numFmtId="0" fontId="0" fillId="0" borderId="0" xfId="0" applyBorder="1"/>
    <xf numFmtId="0" fontId="1" fillId="0" borderId="0" xfId="0" applyFont="1" applyBorder="1"/>
    <xf numFmtId="0" fontId="0" fillId="0" borderId="9" xfId="0" applyBorder="1"/>
    <xf numFmtId="0" fontId="1" fillId="0" borderId="9" xfId="0" applyFont="1" applyBorder="1"/>
    <xf numFmtId="0" fontId="1" fillId="0" borderId="13" xfId="0" applyFont="1" applyBorder="1"/>
    <xf numFmtId="0" fontId="0" fillId="0" borderId="14" xfId="0" applyBorder="1"/>
    <xf numFmtId="0" fontId="1" fillId="0" borderId="14" xfId="0" applyFont="1" applyBorder="1"/>
    <xf numFmtId="0" fontId="1" fillId="0" borderId="15" xfId="0" applyFont="1" applyBorder="1"/>
    <xf numFmtId="0" fontId="1" fillId="0" borderId="31" xfId="0" applyFont="1" applyBorder="1"/>
    <xf numFmtId="0" fontId="0" fillId="0" borderId="31" xfId="0" applyBorder="1"/>
    <xf numFmtId="0" fontId="0" fillId="0" borderId="32" xfId="0" applyBorder="1"/>
    <xf numFmtId="0" fontId="3" fillId="0" borderId="31" xfId="0" applyFont="1" applyBorder="1"/>
    <xf numFmtId="0" fontId="4" fillId="0" borderId="31" xfId="0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1" xfId="0" applyFont="1" applyBorder="1"/>
    <xf numFmtId="0" fontId="3" fillId="0" borderId="32" xfId="0" applyFont="1" applyBorder="1"/>
    <xf numFmtId="0" fontId="0" fillId="0" borderId="2" xfId="0" applyBorder="1" applyAlignment="1">
      <alignment horizontal="center"/>
    </xf>
    <xf numFmtId="0" fontId="4" fillId="0" borderId="1" xfId="0" applyFont="1" applyBorder="1"/>
    <xf numFmtId="0" fontId="4" fillId="0" borderId="32" xfId="0" applyFont="1" applyBorder="1"/>
    <xf numFmtId="0" fontId="0" fillId="0" borderId="29" xfId="0" applyBorder="1"/>
    <xf numFmtId="0" fontId="0" fillId="2" borderId="35" xfId="0" applyFill="1" applyBorder="1" applyAlignment="1"/>
    <xf numFmtId="0" fontId="0" fillId="2" borderId="36" xfId="0" applyFill="1" applyBorder="1" applyAlignment="1"/>
    <xf numFmtId="0" fontId="0" fillId="2" borderId="37" xfId="0" applyFill="1" applyBorder="1" applyAlignment="1"/>
    <xf numFmtId="0" fontId="0" fillId="2" borderId="25" xfId="0" applyFill="1" applyBorder="1" applyAlignment="1"/>
    <xf numFmtId="0" fontId="0" fillId="2" borderId="26" xfId="0" applyFill="1" applyBorder="1" applyAlignment="1"/>
    <xf numFmtId="0" fontId="0" fillId="2" borderId="38" xfId="0" applyFill="1" applyBorder="1" applyAlignment="1"/>
    <xf numFmtId="0" fontId="5" fillId="0" borderId="1" xfId="0" applyFont="1" applyBorder="1"/>
    <xf numFmtId="0" fontId="5" fillId="0" borderId="32" xfId="0" applyFont="1" applyBorder="1"/>
    <xf numFmtId="0" fontId="1" fillId="0" borderId="39" xfId="0" applyFont="1" applyBorder="1"/>
    <xf numFmtId="0" fontId="5" fillId="0" borderId="43" xfId="0" applyFont="1" applyBorder="1"/>
    <xf numFmtId="0" fontId="5" fillId="0" borderId="44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9" xfId="0" applyFont="1" applyBorder="1"/>
    <xf numFmtId="0" fontId="4" fillId="0" borderId="8" xfId="0" applyFont="1" applyBorder="1"/>
    <xf numFmtId="0" fontId="4" fillId="0" borderId="0" xfId="0" applyFont="1" applyBorder="1"/>
    <xf numFmtId="0" fontId="4" fillId="0" borderId="9" xfId="0" applyFont="1" applyBorder="1"/>
    <xf numFmtId="0" fontId="0" fillId="0" borderId="8" xfId="0" applyBorder="1"/>
    <xf numFmtId="0" fontId="1" fillId="0" borderId="0" xfId="0" applyFont="1" applyBorder="1" applyAlignment="1"/>
    <xf numFmtId="0" fontId="3" fillId="0" borderId="8" xfId="0" applyFont="1" applyBorder="1"/>
    <xf numFmtId="0" fontId="3" fillId="0" borderId="0" xfId="0" applyFont="1" applyBorder="1"/>
    <xf numFmtId="0" fontId="5" fillId="0" borderId="13" xfId="0" applyFont="1" applyBorder="1"/>
    <xf numFmtId="0" fontId="5" fillId="0" borderId="14" xfId="0" applyFont="1" applyBorder="1"/>
    <xf numFmtId="0" fontId="0" fillId="0" borderId="23" xfId="0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46" xfId="0" applyBorder="1" applyAlignment="1">
      <alignment vertical="top" wrapText="1"/>
    </xf>
    <xf numFmtId="0" fontId="0" fillId="0" borderId="47" xfId="0" applyBorder="1" applyAlignment="1">
      <alignment vertical="top" wrapText="1"/>
    </xf>
    <xf numFmtId="0" fontId="2" fillId="0" borderId="4" xfId="0" applyFont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/>
    <xf numFmtId="0" fontId="1" fillId="0" borderId="48" xfId="0" applyFont="1" applyBorder="1" applyAlignment="1">
      <alignment horizontal="left" vertical="top"/>
    </xf>
    <xf numFmtId="0" fontId="1" fillId="0" borderId="34" xfId="0" applyFont="1" applyBorder="1"/>
    <xf numFmtId="0" fontId="0" fillId="0" borderId="34" xfId="0" applyBorder="1"/>
    <xf numFmtId="0" fontId="0" fillId="0" borderId="49" xfId="0" applyBorder="1"/>
    <xf numFmtId="0" fontId="1" fillId="0" borderId="50" xfId="0" applyFont="1" applyBorder="1"/>
    <xf numFmtId="0" fontId="0" fillId="0" borderId="24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17" borderId="4" xfId="0" applyFont="1" applyFill="1" applyBorder="1" applyAlignment="1">
      <alignment textRotation="45"/>
    </xf>
    <xf numFmtId="0" fontId="0" fillId="17" borderId="2" xfId="0" applyFill="1" applyBorder="1" applyAlignment="1"/>
    <xf numFmtId="0" fontId="0" fillId="17" borderId="4" xfId="0" applyFill="1" applyBorder="1" applyAlignment="1"/>
    <xf numFmtId="0" fontId="0" fillId="17" borderId="0" xfId="0" applyFill="1"/>
    <xf numFmtId="0" fontId="2" fillId="17" borderId="2" xfId="0" applyFont="1" applyFill="1" applyBorder="1" applyAlignment="1">
      <alignment textRotation="45"/>
    </xf>
    <xf numFmtId="0" fontId="5" fillId="0" borderId="50" xfId="0" applyFont="1" applyBorder="1"/>
    <xf numFmtId="0" fontId="1" fillId="0" borderId="14" xfId="0" applyFont="1" applyBorder="1" applyAlignment="1">
      <alignment horizontal="center"/>
    </xf>
    <xf numFmtId="0" fontId="8" fillId="0" borderId="51" xfId="0" applyFont="1" applyBorder="1" applyAlignment="1">
      <alignment vertical="top" wrapText="1"/>
    </xf>
    <xf numFmtId="0" fontId="8" fillId="0" borderId="52" xfId="0" applyFont="1" applyBorder="1" applyAlignment="1">
      <alignment horizontal="justify" vertical="top" wrapText="1"/>
    </xf>
    <xf numFmtId="0" fontId="0" fillId="0" borderId="52" xfId="0" applyBorder="1" applyAlignment="1">
      <alignment vertical="top" wrapText="1"/>
    </xf>
    <xf numFmtId="0" fontId="8" fillId="0" borderId="52" xfId="0" applyFont="1" applyBorder="1" applyAlignment="1">
      <alignment vertical="top" wrapText="1"/>
    </xf>
    <xf numFmtId="0" fontId="8" fillId="0" borderId="53" xfId="0" applyFont="1" applyBorder="1" applyAlignment="1">
      <alignment horizontal="center" vertical="top" wrapText="1"/>
    </xf>
    <xf numFmtId="0" fontId="8" fillId="0" borderId="54" xfId="0" applyFont="1" applyBorder="1" applyAlignment="1">
      <alignment horizontal="center" vertical="top" wrapText="1"/>
    </xf>
    <xf numFmtId="0" fontId="0" fillId="0" borderId="0" xfId="0" applyFill="1" applyBorder="1" applyAlignment="1">
      <alignment vertical="top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7" fillId="4" borderId="2" xfId="0" applyFont="1" applyFill="1" applyBorder="1" applyAlignment="1">
      <alignment horizontal="center" textRotation="45"/>
    </xf>
    <xf numFmtId="0" fontId="7" fillId="4" borderId="3" xfId="0" applyFont="1" applyFill="1" applyBorder="1" applyAlignment="1">
      <alignment horizontal="center" textRotation="45"/>
    </xf>
    <xf numFmtId="0" fontId="7" fillId="4" borderId="4" xfId="0" applyFont="1" applyFill="1" applyBorder="1" applyAlignment="1">
      <alignment horizontal="center" textRotation="45"/>
    </xf>
    <xf numFmtId="0" fontId="2" fillId="4" borderId="2" xfId="0" applyFont="1" applyFill="1" applyBorder="1" applyAlignment="1">
      <alignment horizontal="center" textRotation="45"/>
    </xf>
    <xf numFmtId="0" fontId="0" fillId="4" borderId="3" xfId="0" applyFill="1" applyBorder="1" applyAlignment="1">
      <alignment horizontal="center" textRotation="45"/>
    </xf>
    <xf numFmtId="0" fontId="0" fillId="4" borderId="4" xfId="0" applyFill="1" applyBorder="1" applyAlignment="1">
      <alignment horizontal="center" textRotation="45"/>
    </xf>
    <xf numFmtId="0" fontId="0" fillId="4" borderId="3" xfId="0" applyFont="1" applyFill="1" applyBorder="1" applyAlignment="1">
      <alignment horizontal="center" textRotation="45"/>
    </xf>
    <xf numFmtId="0" fontId="0" fillId="4" borderId="4" xfId="0" applyFont="1" applyFill="1" applyBorder="1" applyAlignment="1">
      <alignment horizontal="center" textRotation="45"/>
    </xf>
    <xf numFmtId="0" fontId="2" fillId="8" borderId="2" xfId="0" applyFont="1" applyFill="1" applyBorder="1" applyAlignment="1">
      <alignment horizontal="center" textRotation="45"/>
    </xf>
    <xf numFmtId="0" fontId="6" fillId="8" borderId="3" xfId="0" applyFont="1" applyFill="1" applyBorder="1" applyAlignment="1">
      <alignment horizontal="center" textRotation="45"/>
    </xf>
    <xf numFmtId="0" fontId="6" fillId="8" borderId="4" xfId="0" applyFont="1" applyFill="1" applyBorder="1" applyAlignment="1">
      <alignment horizontal="center" textRotation="45"/>
    </xf>
    <xf numFmtId="0" fontId="2" fillId="7" borderId="2" xfId="0" applyFont="1" applyFill="1" applyBorder="1" applyAlignment="1">
      <alignment horizontal="center" textRotation="45"/>
    </xf>
    <xf numFmtId="0" fontId="2" fillId="7" borderId="3" xfId="0" applyFont="1" applyFill="1" applyBorder="1" applyAlignment="1">
      <alignment horizontal="center" textRotation="45"/>
    </xf>
    <xf numFmtId="0" fontId="2" fillId="7" borderId="4" xfId="0" applyFont="1" applyFill="1" applyBorder="1" applyAlignment="1">
      <alignment horizontal="center" textRotation="45"/>
    </xf>
    <xf numFmtId="0" fontId="2" fillId="9" borderId="2" xfId="0" applyFont="1" applyFill="1" applyBorder="1" applyAlignment="1">
      <alignment horizontal="center" textRotation="45"/>
    </xf>
    <xf numFmtId="0" fontId="2" fillId="9" borderId="3" xfId="0" applyFont="1" applyFill="1" applyBorder="1" applyAlignment="1">
      <alignment horizontal="center" textRotation="45"/>
    </xf>
    <xf numFmtId="0" fontId="2" fillId="9" borderId="4" xfId="0" applyFont="1" applyFill="1" applyBorder="1" applyAlignment="1">
      <alignment horizontal="center" textRotation="45"/>
    </xf>
    <xf numFmtId="0" fontId="2" fillId="11" borderId="2" xfId="0" applyFont="1" applyFill="1" applyBorder="1" applyAlignment="1">
      <alignment horizontal="center" textRotation="45"/>
    </xf>
    <xf numFmtId="0" fontId="2" fillId="11" borderId="3" xfId="0" applyFont="1" applyFill="1" applyBorder="1" applyAlignment="1">
      <alignment horizontal="center" textRotation="45"/>
    </xf>
    <xf numFmtId="0" fontId="2" fillId="11" borderId="4" xfId="0" applyFont="1" applyFill="1" applyBorder="1" applyAlignment="1">
      <alignment horizontal="center" textRotation="45"/>
    </xf>
    <xf numFmtId="0" fontId="2" fillId="5" borderId="2" xfId="0" applyFont="1" applyFill="1" applyBorder="1" applyAlignment="1">
      <alignment horizontal="center" textRotation="45"/>
    </xf>
    <xf numFmtId="0" fontId="2" fillId="5" borderId="3" xfId="0" applyFont="1" applyFill="1" applyBorder="1" applyAlignment="1">
      <alignment horizontal="center" textRotation="45"/>
    </xf>
    <xf numFmtId="0" fontId="2" fillId="5" borderId="4" xfId="0" applyFont="1" applyFill="1" applyBorder="1" applyAlignment="1">
      <alignment horizontal="center" textRotation="45"/>
    </xf>
    <xf numFmtId="0" fontId="2" fillId="6" borderId="2" xfId="0" applyFont="1" applyFill="1" applyBorder="1" applyAlignment="1">
      <alignment horizontal="center" textRotation="45"/>
    </xf>
    <xf numFmtId="0" fontId="2" fillId="6" borderId="3" xfId="0" applyFont="1" applyFill="1" applyBorder="1" applyAlignment="1">
      <alignment horizontal="center" textRotation="45"/>
    </xf>
    <xf numFmtId="0" fontId="2" fillId="6" borderId="4" xfId="0" applyFont="1" applyFill="1" applyBorder="1" applyAlignment="1">
      <alignment horizontal="center" textRotation="45"/>
    </xf>
    <xf numFmtId="0" fontId="2" fillId="2" borderId="2" xfId="0" applyFont="1" applyFill="1" applyBorder="1" applyAlignment="1">
      <alignment horizontal="center" textRotation="45"/>
    </xf>
    <xf numFmtId="0" fontId="2" fillId="2" borderId="3" xfId="0" applyFont="1" applyFill="1" applyBorder="1" applyAlignment="1">
      <alignment horizontal="center" textRotation="45"/>
    </xf>
    <xf numFmtId="0" fontId="2" fillId="2" borderId="4" xfId="0" applyFont="1" applyFill="1" applyBorder="1" applyAlignment="1">
      <alignment horizontal="center" textRotation="45"/>
    </xf>
    <xf numFmtId="0" fontId="2" fillId="16" borderId="45" xfId="0" applyFont="1" applyFill="1" applyBorder="1" applyAlignment="1">
      <alignment horizontal="center" textRotation="45"/>
    </xf>
    <xf numFmtId="0" fontId="2" fillId="16" borderId="3" xfId="0" applyFont="1" applyFill="1" applyBorder="1" applyAlignment="1">
      <alignment horizontal="center" textRotation="45"/>
    </xf>
    <xf numFmtId="0" fontId="2" fillId="16" borderId="4" xfId="0" applyFont="1" applyFill="1" applyBorder="1" applyAlignment="1">
      <alignment horizontal="center" textRotation="45"/>
    </xf>
    <xf numFmtId="0" fontId="2" fillId="12" borderId="2" xfId="0" applyFont="1" applyFill="1" applyBorder="1" applyAlignment="1">
      <alignment horizontal="center" textRotation="30"/>
    </xf>
    <xf numFmtId="0" fontId="2" fillId="12" borderId="3" xfId="0" applyFont="1" applyFill="1" applyBorder="1" applyAlignment="1">
      <alignment horizontal="center" textRotation="30"/>
    </xf>
    <xf numFmtId="0" fontId="2" fillId="12" borderId="4" xfId="0" applyFont="1" applyFill="1" applyBorder="1" applyAlignment="1">
      <alignment horizontal="center" textRotation="30"/>
    </xf>
    <xf numFmtId="0" fontId="2" fillId="13" borderId="2" xfId="0" applyFont="1" applyFill="1" applyBorder="1" applyAlignment="1">
      <alignment horizontal="center" textRotation="45"/>
    </xf>
    <xf numFmtId="0" fontId="2" fillId="13" borderId="3" xfId="0" applyFont="1" applyFill="1" applyBorder="1" applyAlignment="1">
      <alignment horizontal="center" textRotation="45"/>
    </xf>
    <xf numFmtId="0" fontId="2" fillId="13" borderId="4" xfId="0" applyFont="1" applyFill="1" applyBorder="1" applyAlignment="1">
      <alignment horizontal="center" textRotation="45"/>
    </xf>
    <xf numFmtId="0" fontId="2" fillId="10" borderId="2" xfId="0" applyFont="1" applyFill="1" applyBorder="1" applyAlignment="1">
      <alignment horizontal="center" textRotation="45"/>
    </xf>
    <xf numFmtId="0" fontId="2" fillId="10" borderId="3" xfId="0" applyFont="1" applyFill="1" applyBorder="1" applyAlignment="1">
      <alignment horizontal="center" textRotation="45"/>
    </xf>
    <xf numFmtId="0" fontId="2" fillId="10" borderId="4" xfId="0" applyFont="1" applyFill="1" applyBorder="1" applyAlignment="1">
      <alignment horizontal="center" textRotation="45"/>
    </xf>
    <xf numFmtId="0" fontId="2" fillId="14" borderId="2" xfId="0" applyFont="1" applyFill="1" applyBorder="1" applyAlignment="1">
      <alignment horizontal="center" textRotation="45"/>
    </xf>
    <xf numFmtId="0" fontId="2" fillId="14" borderId="3" xfId="0" applyFont="1" applyFill="1" applyBorder="1" applyAlignment="1">
      <alignment horizontal="center" textRotation="45"/>
    </xf>
    <xf numFmtId="0" fontId="2" fillId="14" borderId="4" xfId="0" applyFont="1" applyFill="1" applyBorder="1" applyAlignment="1">
      <alignment horizontal="center" textRotation="45"/>
    </xf>
    <xf numFmtId="0" fontId="2" fillId="15" borderId="45" xfId="0" applyFont="1" applyFill="1" applyBorder="1" applyAlignment="1">
      <alignment horizontal="center" textRotation="45"/>
    </xf>
    <xf numFmtId="0" fontId="2" fillId="15" borderId="3" xfId="0" applyFont="1" applyFill="1" applyBorder="1" applyAlignment="1">
      <alignment textRotation="45"/>
    </xf>
    <xf numFmtId="0" fontId="2" fillId="15" borderId="30" xfId="0" applyFont="1" applyFill="1" applyBorder="1" applyAlignment="1">
      <alignment textRotation="45"/>
    </xf>
    <xf numFmtId="0" fontId="0" fillId="0" borderId="1" xfId="0" applyBorder="1" applyAlignment="1">
      <alignment horizontal="left"/>
    </xf>
    <xf numFmtId="0" fontId="8" fillId="0" borderId="55" xfId="0" applyFont="1" applyBorder="1" applyAlignment="1">
      <alignment horizontal="center" vertical="top" wrapText="1"/>
    </xf>
    <xf numFmtId="0" fontId="0" fillId="0" borderId="24" xfId="0" applyFill="1" applyBorder="1"/>
    <xf numFmtId="0" fontId="0" fillId="0" borderId="1" xfId="0" applyFill="1" applyBorder="1" applyAlignment="1">
      <alignment horizontal="left"/>
    </xf>
    <xf numFmtId="0" fontId="9" fillId="0" borderId="0" xfId="0" applyFont="1"/>
    <xf numFmtId="0" fontId="4" fillId="0" borderId="0" xfId="0" applyFont="1"/>
    <xf numFmtId="0" fontId="1" fillId="0" borderId="0" xfId="0" applyFont="1"/>
    <xf numFmtId="0" fontId="9" fillId="0" borderId="55" xfId="0" applyFont="1" applyBorder="1" applyAlignment="1">
      <alignment horizontal="left"/>
    </xf>
    <xf numFmtId="0" fontId="10" fillId="0" borderId="57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justify" vertical="center" wrapText="1"/>
    </xf>
    <xf numFmtId="0" fontId="11" fillId="0" borderId="57" xfId="0" applyFont="1" applyBorder="1" applyAlignment="1">
      <alignment horizontal="justify" vertical="center" wrapText="1"/>
    </xf>
    <xf numFmtId="0" fontId="11" fillId="0" borderId="59" xfId="0" applyFont="1" applyBorder="1" applyAlignment="1">
      <alignment horizontal="justify" vertical="center" wrapText="1"/>
    </xf>
    <xf numFmtId="0" fontId="11" fillId="0" borderId="61" xfId="0" applyFont="1" applyBorder="1" applyAlignment="1">
      <alignment horizontal="justify" vertical="center" wrapText="1"/>
    </xf>
    <xf numFmtId="0" fontId="11" fillId="0" borderId="54" xfId="0" applyFont="1" applyBorder="1" applyAlignment="1">
      <alignment horizontal="justify" vertical="center" wrapText="1"/>
    </xf>
    <xf numFmtId="0" fontId="12" fillId="0" borderId="52" xfId="0" applyFont="1" applyBorder="1" applyAlignment="1">
      <alignment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justify" vertical="center" wrapText="1"/>
    </xf>
    <xf numFmtId="0" fontId="11" fillId="3" borderId="54" xfId="0" applyFont="1" applyFill="1" applyBorder="1" applyAlignment="1">
      <alignment horizontal="center" vertical="center" wrapText="1"/>
    </xf>
    <xf numFmtId="0" fontId="10" fillId="3" borderId="54" xfId="0" applyFont="1" applyFill="1" applyBorder="1" applyAlignment="1">
      <alignment horizontal="justify" vertical="center" wrapText="1"/>
    </xf>
    <xf numFmtId="0" fontId="10" fillId="0" borderId="54" xfId="0" applyFont="1" applyBorder="1" applyAlignment="1">
      <alignment horizontal="justify" vertical="center" wrapText="1"/>
    </xf>
    <xf numFmtId="0" fontId="10" fillId="0" borderId="52" xfId="0" applyFont="1" applyBorder="1" applyAlignment="1">
      <alignment horizontal="justify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3" borderId="54" xfId="0" applyFont="1" applyFill="1" applyBorder="1" applyAlignment="1">
      <alignment horizontal="center" vertical="center" wrapText="1"/>
    </xf>
    <xf numFmtId="0" fontId="14" fillId="0" borderId="56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N62"/>
  <sheetViews>
    <sheetView topLeftCell="A31" zoomScale="115" zoomScaleNormal="115" workbookViewId="0">
      <selection activeCell="I5" sqref="I5"/>
    </sheetView>
  </sheetViews>
  <sheetFormatPr baseColWidth="10" defaultRowHeight="15"/>
  <cols>
    <col min="1" max="1" width="24.28515625" customWidth="1"/>
    <col min="2" max="2" width="5.5703125" customWidth="1"/>
    <col min="3" max="3" width="6" customWidth="1"/>
    <col min="4" max="4" width="5.28515625" customWidth="1"/>
    <col min="5" max="5" width="5.85546875" customWidth="1"/>
    <col min="6" max="6" width="7.42578125" customWidth="1"/>
    <col min="7" max="7" width="6.85546875" customWidth="1"/>
    <col min="8" max="8" width="6.5703125" customWidth="1"/>
    <col min="9" max="9" width="6.28515625" customWidth="1"/>
    <col min="10" max="10" width="6" customWidth="1"/>
    <col min="11" max="11" width="2.7109375" customWidth="1"/>
    <col min="12" max="12" width="5" customWidth="1"/>
    <col min="13" max="13" width="4.7109375" customWidth="1"/>
    <col min="14" max="14" width="15.140625" customWidth="1"/>
  </cols>
  <sheetData>
    <row r="1" spans="1:14" ht="15.75" thickTop="1">
      <c r="A1" s="100" t="s">
        <v>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2"/>
    </row>
    <row r="2" spans="1:14" ht="15.75" thickBot="1">
      <c r="A2" s="103" t="s">
        <v>60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5"/>
    </row>
    <row r="3" spans="1:14" ht="16.5" thickTop="1" thickBot="1">
      <c r="A3" s="4" t="s">
        <v>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 ht="16.5" thickTop="1" thickBot="1">
      <c r="A4" s="4" t="s">
        <v>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1:14" ht="15.75" thickTop="1">
      <c r="A5" s="7" t="s">
        <v>56</v>
      </c>
      <c r="B5" s="8"/>
      <c r="C5" s="8"/>
      <c r="D5" s="8"/>
      <c r="E5" s="8"/>
      <c r="F5" s="9" t="s">
        <v>90</v>
      </c>
      <c r="G5" s="14"/>
      <c r="H5" s="74"/>
      <c r="I5" s="10" t="s">
        <v>96</v>
      </c>
      <c r="J5" s="10"/>
      <c r="K5" s="10"/>
      <c r="L5" s="10"/>
      <c r="M5" s="10"/>
      <c r="N5" s="11" t="str">
        <f>IF(I5&lt;&gt;"",VLOOKUP(I5,'LISTE DES ELEVES'!A3:DQ100,2,FALSE))</f>
        <v>M</v>
      </c>
    </row>
    <row r="6" spans="1:14">
      <c r="A6" s="12" t="s">
        <v>57</v>
      </c>
      <c r="B6" s="13"/>
      <c r="C6" s="13"/>
      <c r="D6" s="13"/>
      <c r="E6" s="13"/>
      <c r="F6" s="12" t="s">
        <v>8</v>
      </c>
      <c r="G6" s="14" t="str">
        <f>IF(I5&lt;&gt;"",VLOOKUP(I5,'LISTE DES ELEVES'!A3:DQ100,3,FALSE))</f>
        <v>BANDUNDU,Le 23/07/2007</v>
      </c>
      <c r="H6" s="75"/>
      <c r="I6" s="14"/>
      <c r="J6" s="14"/>
      <c r="K6" s="14"/>
      <c r="L6" s="14"/>
      <c r="M6" s="14"/>
      <c r="N6" s="15"/>
    </row>
    <row r="7" spans="1:14">
      <c r="A7" s="12" t="s">
        <v>58</v>
      </c>
      <c r="B7" s="13"/>
      <c r="C7" s="13"/>
      <c r="D7" s="13"/>
      <c r="E7" s="13"/>
      <c r="F7" s="12" t="s">
        <v>9</v>
      </c>
      <c r="G7" s="14" t="str">
        <f>IF(I5&lt;&gt;"",VLOOKUP(I5,'LISTE DES ELEVES'!A3:DQ100,4,FALSE))</f>
        <v>3ème ELELECT</v>
      </c>
      <c r="H7" s="76"/>
      <c r="I7" s="14"/>
      <c r="J7" s="14"/>
      <c r="K7" s="14"/>
      <c r="L7" s="14"/>
      <c r="M7" s="14"/>
      <c r="N7" s="16"/>
    </row>
    <row r="8" spans="1:14" ht="15.75" thickBot="1">
      <c r="A8" s="17" t="s">
        <v>10</v>
      </c>
      <c r="B8" s="18"/>
      <c r="C8" s="18"/>
      <c r="D8" s="18"/>
      <c r="E8" s="18"/>
      <c r="F8" s="17" t="s">
        <v>11</v>
      </c>
      <c r="G8" s="87"/>
      <c r="H8" s="77"/>
      <c r="I8" s="78"/>
      <c r="J8" s="19"/>
      <c r="K8" s="19"/>
      <c r="L8" s="19"/>
      <c r="M8" s="19"/>
      <c r="N8" s="20"/>
    </row>
    <row r="9" spans="1:14" ht="16.5" thickTop="1" thickBot="1">
      <c r="A9" s="130" t="s">
        <v>59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2"/>
    </row>
    <row r="10" spans="1:14" ht="15.75" thickTop="1">
      <c r="A10" s="106" t="s">
        <v>12</v>
      </c>
      <c r="B10" s="109" t="s">
        <v>13</v>
      </c>
      <c r="C10" s="110"/>
      <c r="D10" s="110"/>
      <c r="E10" s="111"/>
      <c r="F10" s="109" t="s">
        <v>14</v>
      </c>
      <c r="G10" s="110"/>
      <c r="H10" s="110"/>
      <c r="I10" s="111"/>
      <c r="J10" s="112" t="s">
        <v>15</v>
      </c>
      <c r="K10" s="115"/>
      <c r="L10" s="118" t="s">
        <v>16</v>
      </c>
      <c r="M10" s="119"/>
      <c r="N10" s="120"/>
    </row>
    <row r="11" spans="1:14">
      <c r="A11" s="107"/>
      <c r="B11" s="98" t="s">
        <v>17</v>
      </c>
      <c r="C11" s="124"/>
      <c r="D11" s="125" t="s">
        <v>18</v>
      </c>
      <c r="E11" s="125" t="s">
        <v>19</v>
      </c>
      <c r="F11" s="98" t="s">
        <v>17</v>
      </c>
      <c r="G11" s="124"/>
      <c r="H11" s="125" t="s">
        <v>18</v>
      </c>
      <c r="I11" s="125" t="s">
        <v>19</v>
      </c>
      <c r="J11" s="113"/>
      <c r="K11" s="116"/>
      <c r="L11" s="121"/>
      <c r="M11" s="122"/>
      <c r="N11" s="123"/>
    </row>
    <row r="12" spans="1:14">
      <c r="A12" s="108"/>
      <c r="B12" s="3" t="s">
        <v>20</v>
      </c>
      <c r="C12" s="3" t="s">
        <v>21</v>
      </c>
      <c r="D12" s="114"/>
      <c r="E12" s="114"/>
      <c r="F12" s="3" t="s">
        <v>22</v>
      </c>
      <c r="G12" s="3" t="s">
        <v>92</v>
      </c>
      <c r="H12" s="114"/>
      <c r="I12" s="114"/>
      <c r="J12" s="114"/>
      <c r="K12" s="116"/>
      <c r="L12" s="3" t="s">
        <v>23</v>
      </c>
      <c r="M12" s="98" t="s">
        <v>24</v>
      </c>
      <c r="N12" s="99"/>
    </row>
    <row r="13" spans="1:14">
      <c r="A13" s="21" t="s">
        <v>25</v>
      </c>
      <c r="B13" s="3">
        <v>10</v>
      </c>
      <c r="C13" s="3">
        <v>10</v>
      </c>
      <c r="D13" s="3">
        <v>20</v>
      </c>
      <c r="E13" s="3">
        <v>40</v>
      </c>
      <c r="F13" s="3">
        <v>10</v>
      </c>
      <c r="G13" s="3">
        <v>10</v>
      </c>
      <c r="H13" s="3">
        <v>20</v>
      </c>
      <c r="I13" s="3">
        <v>40</v>
      </c>
      <c r="J13" s="3">
        <v>80</v>
      </c>
      <c r="K13" s="116"/>
      <c r="L13" s="133"/>
      <c r="M13" s="134"/>
      <c r="N13" s="135"/>
    </row>
    <row r="14" spans="1:14">
      <c r="A14" s="22" t="str">
        <f>'LISTE DES ELEVES'!F1</f>
        <v>RELIGION</v>
      </c>
      <c r="B14" s="2">
        <f>IF(I5&lt;&gt;"",VLOOKUP(I5,'LISTE DES ELEVES'!A3:DQ100,6,FALSE))</f>
        <v>3</v>
      </c>
      <c r="C14" s="2">
        <f>IF(I5&lt;&gt;"",VLOOKUP(I5,'LISTE DES ELEVES'!A3:DQ100,7,FALSE))</f>
        <v>0</v>
      </c>
      <c r="D14" s="2">
        <f>IF(I5&lt;&gt;"",VLOOKUP(I5,'LISTE DES ELEVES'!A3:DQ100,8,FALSE))</f>
        <v>0</v>
      </c>
      <c r="E14" s="2">
        <f>B14+C14+D14</f>
        <v>3</v>
      </c>
      <c r="F14" s="2">
        <f>IF(I5&lt;&gt;"",VLOOKUP(I5,'LISTE DES ELEVES'!A3:DQ100,9,FALSE))</f>
        <v>0</v>
      </c>
      <c r="G14" s="2">
        <f>IF(I5&lt;&gt;"",VLOOKUP(I5,'LISTE DES ELEVES'!A3:DQ100,10,FALSE))</f>
        <v>0</v>
      </c>
      <c r="H14" s="2">
        <f>IF(I5&lt;&gt;"",VLOOKUP(I5,'LISTE DES ELEVES'!A3:DQ100,11,FALSE))</f>
        <v>0</v>
      </c>
      <c r="I14" s="2">
        <f>F14+G14+H14</f>
        <v>0</v>
      </c>
      <c r="J14" s="2">
        <f>E14+I14</f>
        <v>3</v>
      </c>
      <c r="K14" s="116"/>
      <c r="L14" s="1"/>
      <c r="M14" s="1"/>
      <c r="N14" s="23"/>
    </row>
    <row r="15" spans="1:14">
      <c r="A15" s="22" t="str">
        <f>'LISTE DES ELEVES'!L1</f>
        <v>CIVISME</v>
      </c>
      <c r="B15" s="2">
        <f>IF(I5&lt;&gt;"",VLOOKUP(I5,'LISTE DES ELEVES'!A3:DQ100,12,FALSE))</f>
        <v>4</v>
      </c>
      <c r="C15" s="2">
        <f>IF(I5&lt;&gt;"",VLOOKUP(I5,'LISTE DES ELEVES'!A3:DQ100,13,FALSE))</f>
        <v>0</v>
      </c>
      <c r="D15" s="2">
        <f>IF(I5&lt;&gt;"",VLOOKUP(I5,'LISTE DES ELEVES'!A3:DQ100,14,FALSE))</f>
        <v>0</v>
      </c>
      <c r="E15" s="2">
        <f>B15+C15+D15</f>
        <v>4</v>
      </c>
      <c r="F15" s="2">
        <f>IF(I5&lt;&gt;"",VLOOKUP(I5,'LISTE DES ELEVES'!A3:DQ100,15,FALSE))</f>
        <v>0</v>
      </c>
      <c r="G15" s="2">
        <f>IF(I5&lt;&gt;"",VLOOKUP(I5,'LISTE DES ELEVES'!A3:DQ100,16,FALSE))</f>
        <v>0</v>
      </c>
      <c r="H15" s="2">
        <f>IF(I5&lt;&gt;"",VLOOKUP(I5,'LISTE DES ELEVES'!A3:DQ100,17,FALSE))</f>
        <v>0</v>
      </c>
      <c r="I15" s="2">
        <f>F15+G14+H15</f>
        <v>0</v>
      </c>
      <c r="J15" s="2">
        <f>E15+I15</f>
        <v>4</v>
      </c>
      <c r="K15" s="116"/>
      <c r="L15" s="1"/>
      <c r="M15" s="1"/>
      <c r="N15" s="23"/>
    </row>
    <row r="16" spans="1:14">
      <c r="A16" s="22" t="str">
        <f>'LISTE DES ELEVES'!R1</f>
        <v xml:space="preserve">EDUCATION A LA VIE </v>
      </c>
      <c r="B16" s="2">
        <f>IF(I5&lt;&gt;"",VLOOKUP(I5,'LISTE DES ELEVES'!A3:DQ100,18,FALSE))</f>
        <v>6</v>
      </c>
      <c r="C16" s="2">
        <f>IF(I5&lt;&gt;"",VLOOKUP(I5,'LISTE DES ELEVES'!A3:DQ100,19,FALSE))</f>
        <v>0</v>
      </c>
      <c r="D16" s="2">
        <f>IF(I5&lt;&gt;"",VLOOKUP(I5,'LISTE DES ELEVES'!A3:DQ100,20,FALSE))</f>
        <v>0</v>
      </c>
      <c r="E16" s="2">
        <f>B16+C16+D16</f>
        <v>6</v>
      </c>
      <c r="F16" s="2">
        <f>IF(I5&lt;&gt;"",VLOOKUP(I5,'LISTE DES ELEVES'!A3:DQ100,21,FALSE))</f>
        <v>0</v>
      </c>
      <c r="G16" s="3">
        <f>IF(I5&lt;&gt;"",VLOOKUP(I5,'LISTE DES ELEVES'!A3:DQ100,22,FALSE))</f>
        <v>0</v>
      </c>
      <c r="H16" s="2">
        <f>IF(I5&lt;&gt;"",VLOOKUP(I5,'LISTE DES ELEVES'!A3:DQ100,23,FALSE))</f>
        <v>0</v>
      </c>
      <c r="I16" s="2">
        <f>F16+G15+H16</f>
        <v>0</v>
      </c>
      <c r="J16" s="2">
        <f>E16+I16</f>
        <v>6</v>
      </c>
      <c r="K16" s="116"/>
      <c r="L16" s="1"/>
      <c r="M16" s="1"/>
      <c r="N16" s="23"/>
    </row>
    <row r="17" spans="1:14">
      <c r="A17" s="21" t="s">
        <v>25</v>
      </c>
      <c r="B17" s="3">
        <v>20</v>
      </c>
      <c r="C17" s="3">
        <v>20</v>
      </c>
      <c r="D17" s="3">
        <v>40</v>
      </c>
      <c r="E17" s="3">
        <v>80</v>
      </c>
      <c r="F17" s="3">
        <v>20</v>
      </c>
      <c r="G17" s="3">
        <v>20</v>
      </c>
      <c r="H17" s="3">
        <v>40</v>
      </c>
      <c r="I17" s="3">
        <v>80</v>
      </c>
      <c r="J17" s="3">
        <v>160</v>
      </c>
      <c r="K17" s="116"/>
      <c r="L17" s="133"/>
      <c r="M17" s="134"/>
      <c r="N17" s="135"/>
    </row>
    <row r="18" spans="1:14">
      <c r="A18" s="22" t="str">
        <f>'LISTE DES ELEVES'!X1</f>
        <v xml:space="preserve">ANGLAIS </v>
      </c>
      <c r="B18" s="2">
        <f>IF(I5&lt;&gt;"",VLOOKUP(I5,'LISTE DES ELEVES'!A3:DQ100,24,FALSE))</f>
        <v>13</v>
      </c>
      <c r="C18" s="2">
        <f>IF(I5&lt;&gt;"",VLOOKUP(I5,'LISTE DES ELEVES'!A3:DQ100,25,FALSE))</f>
        <v>0</v>
      </c>
      <c r="D18" s="2">
        <f>IF(I5&lt;&gt;"",VLOOKUP(I5,'LISTE DES ELEVES'!A3:DQ100,26,FALSE))</f>
        <v>0</v>
      </c>
      <c r="E18" s="2">
        <f>B18+C18+D18</f>
        <v>13</v>
      </c>
      <c r="F18" s="2">
        <f>IF(I5&lt;&gt;"",VLOOKUP(I5,'LISTE DES ELEVES'!A3:DQ100,27,FALSE))</f>
        <v>0</v>
      </c>
      <c r="G18" s="2">
        <f>IF(I5&lt;&gt;"",VLOOKUP(I5,'LISTE DES ELEVES'!A3:DQ100,28,FALSE))</f>
        <v>0</v>
      </c>
      <c r="H18" s="2">
        <f>IF(I5&lt;&gt;"",VLOOKUP(I5,'LISTE DES ELEVES'!A3:DQ100,29,FALSE))</f>
        <v>0</v>
      </c>
      <c r="I18" s="2">
        <f t="shared" ref="I18:I24" si="0">F18+G18+H18</f>
        <v>0</v>
      </c>
      <c r="J18" s="2">
        <f>E18+I18</f>
        <v>13</v>
      </c>
      <c r="K18" s="116"/>
      <c r="L18" s="1"/>
      <c r="M18" s="1"/>
      <c r="N18" s="23"/>
    </row>
    <row r="19" spans="1:14">
      <c r="A19" s="22" t="str">
        <f>'LISTE DES ELEVES'!AD1</f>
        <v>INFORMATIQUE</v>
      </c>
      <c r="B19" s="2">
        <f>IF(I5&lt;&gt;"",VLOOKUP(I5,'LISTE DES ELEVES'!A3:DQ100,30,FALSE))</f>
        <v>13</v>
      </c>
      <c r="C19" s="2">
        <f>IF(I5&lt;&gt;"",VLOOKUP(I5,'LISTE DES ELEVES'!A3:DQ100,31,FALSE))</f>
        <v>0</v>
      </c>
      <c r="D19" s="2">
        <f>IF(I5&lt;&gt;"",VLOOKUP(I5,'LISTE DES ELEVES'!A3:DQ100,32,FALSE))</f>
        <v>0</v>
      </c>
      <c r="E19" s="2">
        <f>B19+C19+D19</f>
        <v>13</v>
      </c>
      <c r="F19" s="2">
        <f>IF(I5&lt;&gt;"",VLOOKUP(I5,'LISTE DES ELEVES'!A3:DQ100,33,FALSE))</f>
        <v>0</v>
      </c>
      <c r="G19" s="2">
        <f>IF(I5&lt;&gt;"",VLOOKUP(I5,'LISTE DES ELEVES'!A3:DQ100,34,FALSE))</f>
        <v>0</v>
      </c>
      <c r="H19" s="2">
        <f>IF(I5&lt;&gt;"",VLOOKUP(I5,'LISTE DES ELEVES'!A3:DQ100,35,FALSE))</f>
        <v>0</v>
      </c>
      <c r="I19" s="2">
        <f t="shared" si="0"/>
        <v>0</v>
      </c>
      <c r="J19" s="2">
        <f>E19+I19</f>
        <v>13</v>
      </c>
      <c r="K19" s="116"/>
      <c r="L19" s="1"/>
      <c r="M19" s="1"/>
      <c r="N19" s="23"/>
    </row>
    <row r="20" spans="1:14">
      <c r="A20" s="22" t="str">
        <f>'LISTE DES ELEVES'!AJ1</f>
        <v>ELECTRONIQUE+ LABO</v>
      </c>
      <c r="B20" s="2">
        <f>IF(I5&lt;&gt;"",VLOOKUP(I5,'LISTE DES ELEVES'!A3:DQ100,36,FALSE))</f>
        <v>12</v>
      </c>
      <c r="C20" s="2">
        <f>IF(I5&lt;&gt;"",VLOOKUP(I5,'LISTE DES ELEVES'!A3:DQ100,37,FALSE))</f>
        <v>0</v>
      </c>
      <c r="D20" s="2">
        <f>IF(I5&lt;&gt;"",VLOOKUP(I5,'LISTE DES ELEVES'!A3:DQ100,38,FALSE))</f>
        <v>0</v>
      </c>
      <c r="E20" s="2">
        <f>B20+C20+D20</f>
        <v>12</v>
      </c>
      <c r="F20" s="2">
        <f>IF(I5&lt;&gt;"",VLOOKUP(I5,'LISTE DES ELEVES'!A3:DQ100,39,FALSE))</f>
        <v>0</v>
      </c>
      <c r="G20" s="2">
        <f>IF(I5&lt;&gt;"",VLOOKUP(I5,'LISTE DES ELEVES'!A3:DQ100,40,FALSE))</f>
        <v>0</v>
      </c>
      <c r="H20" s="2">
        <f>IF(I5&lt;&gt;"",VLOOKUP(I5,'LISTE DES ELEVES'!A3:DQ100,41,FALSE))</f>
        <v>0</v>
      </c>
      <c r="I20" s="2">
        <f t="shared" si="0"/>
        <v>0</v>
      </c>
      <c r="J20" s="2">
        <f>E20+I20</f>
        <v>12</v>
      </c>
      <c r="K20" s="116"/>
      <c r="L20" s="1"/>
      <c r="M20" s="1"/>
      <c r="N20" s="23"/>
    </row>
    <row r="21" spans="1:14">
      <c r="A21" s="24" t="str">
        <f>'LISTE DES ELEVES'!AP1</f>
        <v>EDUCATION  PHYSIQUE</v>
      </c>
      <c r="B21" s="2">
        <f>IF(I5&lt;&gt;"",VLOOKUP(I5,'LISTE DES ELEVES'!A3:DQ100,42,FALSE))</f>
        <v>12</v>
      </c>
      <c r="C21" s="2">
        <f>IF(I5&lt;&gt;"",VLOOKUP(I5,'LISTE DES ELEVES'!A3:DQ100,43,FALSE))</f>
        <v>0</v>
      </c>
      <c r="D21" s="2">
        <f>IF(I5&lt;&gt;"",VLOOKUP(I5,'LISTE DES ELEVES'!A3:DQ100,44,FALSE))</f>
        <v>0</v>
      </c>
      <c r="E21" s="2">
        <f t="shared" ref="E21:E36" si="1">B21+C21+D21</f>
        <v>12</v>
      </c>
      <c r="F21" s="2">
        <f>IF(I5&lt;&gt;"",VLOOKUP(I5,'LISTE DES ELEVES'!A3:DQ100,45,FALSE))</f>
        <v>0</v>
      </c>
      <c r="G21" s="2">
        <f>IF(I5&lt;&gt;"",VLOOKUP(I5,'LISTE DES ELEVES'!A3:DQ100,46,FALSE))</f>
        <v>0</v>
      </c>
      <c r="H21" s="2">
        <f>IF(I5&lt;&gt;"",VLOOKUP(I5,'LISTE DES ELEVES'!A3:DQ100,47,FALSE))</f>
        <v>0</v>
      </c>
      <c r="I21" s="2">
        <f t="shared" si="0"/>
        <v>0</v>
      </c>
      <c r="J21" s="2">
        <f t="shared" ref="J21:J36" si="2">E21+I21</f>
        <v>12</v>
      </c>
      <c r="K21" s="116"/>
      <c r="L21" s="1"/>
      <c r="M21" s="1"/>
      <c r="N21" s="23"/>
    </row>
    <row r="22" spans="1:14">
      <c r="A22" s="22" t="str">
        <f>'LISTE DES ELEVES'!AV1</f>
        <v>ACTUALITE</v>
      </c>
      <c r="B22" s="2">
        <f>IF(I5&lt;&gt;"",VLOOKUP(I5,'LISTE DES ELEVES'!A3:DQ100,48,FALSE))</f>
        <v>14</v>
      </c>
      <c r="C22" s="2">
        <f>IF(I5&lt;&gt;"",VLOOKUP(I5,'LISTE DES ELEVES'!A3:DQ100,49,FALSE))</f>
        <v>0</v>
      </c>
      <c r="D22" s="2">
        <f>IF(I5&lt;&gt;"",VLOOKUP(I5,'LISTE DES ELEVES'!A3:DQ100,50,FALSE))</f>
        <v>0</v>
      </c>
      <c r="E22" s="2">
        <f t="shared" si="1"/>
        <v>14</v>
      </c>
      <c r="F22" s="2">
        <f>IF(I5&lt;&gt;"",VLOOKUP(I5,'LISTE DES ELEVES'!A3:DQ100,51,FALSE))</f>
        <v>0</v>
      </c>
      <c r="G22" s="2">
        <f>IF(I5&lt;&gt;"",VLOOKUP(I5,'LISTE DES ELEVES'!A3:DQ100,52,FALSE))</f>
        <v>0</v>
      </c>
      <c r="H22" s="2">
        <f>IF(I5&lt;&gt;"",VLOOKUP(I5,'LISTE DES ELEVES'!A3:DQ100,53,FALSE))</f>
        <v>0</v>
      </c>
      <c r="I22" s="2">
        <f t="shared" si="0"/>
        <v>0</v>
      </c>
      <c r="J22" s="2">
        <f t="shared" si="2"/>
        <v>14</v>
      </c>
      <c r="K22" s="116"/>
      <c r="L22" s="1"/>
      <c r="M22" s="1"/>
      <c r="N22" s="23"/>
    </row>
    <row r="23" spans="1:14">
      <c r="A23" s="22" t="str">
        <f>'LISTE DES ELEVES'!BB1</f>
        <v xml:space="preserve">INSTRUMENTS </v>
      </c>
      <c r="B23" s="2">
        <f>IF(I5&lt;&gt;"",VLOOKUP(I5,'LISTE DES ELEVES'!A3:DQ100,54,FALSE))</f>
        <v>13</v>
      </c>
      <c r="C23" s="2">
        <f>IF(I5&lt;&gt;"",VLOOKUP(I5,'LISTE DES ELEVES'!A3:DQ100,55,FALSE))</f>
        <v>0</v>
      </c>
      <c r="D23" s="2">
        <f>IF(I5&lt;&gt;"",VLOOKUP(I5,'LISTE DES ELEVES'!A3:DQ100,56,FALSE))</f>
        <v>0</v>
      </c>
      <c r="E23" s="2">
        <f>B23+C23+D23</f>
        <v>13</v>
      </c>
      <c r="F23" s="2">
        <f>IF(I5&lt;&gt;"",VLOOKUP(I5,'LISTE DES ELEVES'!A3:DQ100,57,FALSE))</f>
        <v>0</v>
      </c>
      <c r="G23" s="2">
        <f>IF(I5&lt;&gt;"",VLOOKUP(I5,'LISTE DES ELEVES'!A3:DQ100,58,FALSE))</f>
        <v>0</v>
      </c>
      <c r="H23" s="2">
        <f>IF(I5&lt;&gt;"",VLOOKUP(I5,'LISTE DES ELEVES'!A3:DQ100,59,FALSE))</f>
        <v>0</v>
      </c>
      <c r="I23" s="2">
        <f t="shared" si="0"/>
        <v>0</v>
      </c>
      <c r="J23" s="2">
        <f>E23+I23</f>
        <v>13</v>
      </c>
      <c r="K23" s="116"/>
      <c r="L23" s="1"/>
      <c r="M23" s="1"/>
      <c r="N23" s="23"/>
    </row>
    <row r="24" spans="1:14">
      <c r="A24" s="25" t="str">
        <f>'LISTE DES ELEVES'!BH1</f>
        <v>RESISTANCE DE MATERIAUX</v>
      </c>
      <c r="B24" s="2">
        <f>IF(I5&lt;&gt;"",VLOOKUP(I5,'LISTE DES ELEVES'!A3:DQ100,60,FALSE))</f>
        <v>7</v>
      </c>
      <c r="C24" s="2">
        <f>IF(I5&lt;&gt;"",VLOOKUP(I5,'LISTE DES ELEVES'!A3:DQ100,61,FALSE))</f>
        <v>0</v>
      </c>
      <c r="D24" s="2">
        <f>IF(I5&lt;&gt;"",VLOOKUP(I5,'LISTE DES ELEVES'!A3:DQ100,62,FALSE))</f>
        <v>0</v>
      </c>
      <c r="E24" s="2">
        <f t="shared" si="1"/>
        <v>7</v>
      </c>
      <c r="F24" s="2">
        <f>IF(I5&lt;&gt;"",VLOOKUP(I5,'LISTE DES ELEVES'!A3:DQ100,63,FALSE))</f>
        <v>0</v>
      </c>
      <c r="G24" s="2">
        <f>IF(I5&lt;&gt;"",VLOOKUP(I5,'LISTE DES ELEVES'!A3:DQ100,64,FALSE))</f>
        <v>0</v>
      </c>
      <c r="H24" s="2">
        <f>IF(I5&lt;&gt;"",VLOOKUP(I5,'LISTE DES ELEVES'!A3:DQ100,65,FALSE))</f>
        <v>0</v>
      </c>
      <c r="I24" s="2">
        <f t="shared" si="0"/>
        <v>0</v>
      </c>
      <c r="J24" s="2">
        <f t="shared" si="2"/>
        <v>7</v>
      </c>
      <c r="K24" s="116"/>
      <c r="L24" s="1"/>
      <c r="M24" s="1"/>
      <c r="N24" s="23"/>
    </row>
    <row r="25" spans="1:14">
      <c r="A25" s="22"/>
      <c r="B25" s="2"/>
      <c r="C25" s="2"/>
      <c r="D25" s="2"/>
      <c r="E25" s="2">
        <f>B25+C25+D25</f>
        <v>0</v>
      </c>
      <c r="F25" s="2"/>
      <c r="G25" s="2"/>
      <c r="H25" s="2"/>
      <c r="I25" s="2">
        <f>F25+G24+H25</f>
        <v>0</v>
      </c>
      <c r="J25" s="2">
        <f>E25+I25</f>
        <v>0</v>
      </c>
      <c r="K25" s="116"/>
      <c r="L25" s="1"/>
      <c r="M25" s="1"/>
      <c r="N25" s="23"/>
    </row>
    <row r="26" spans="1:14">
      <c r="A26" s="22"/>
      <c r="B26" s="2"/>
      <c r="C26" s="2"/>
      <c r="D26" s="2"/>
      <c r="E26" s="2">
        <f t="shared" si="1"/>
        <v>0</v>
      </c>
      <c r="F26" s="2"/>
      <c r="G26" s="2"/>
      <c r="H26" s="2"/>
      <c r="I26" s="2">
        <f>F26+G25+H26</f>
        <v>0</v>
      </c>
      <c r="J26" s="2">
        <f t="shared" si="2"/>
        <v>0</v>
      </c>
      <c r="K26" s="116"/>
      <c r="L26" s="1"/>
      <c r="M26" s="1"/>
      <c r="N26" s="23"/>
    </row>
    <row r="27" spans="1:14">
      <c r="A27" s="22"/>
      <c r="B27" s="2"/>
      <c r="C27" s="2"/>
      <c r="D27" s="2"/>
      <c r="E27" s="2">
        <f>B27+C27+D27</f>
        <v>0</v>
      </c>
      <c r="F27" s="2"/>
      <c r="G27" s="2"/>
      <c r="H27" s="2"/>
      <c r="I27" s="2">
        <f>F27+G26+H27</f>
        <v>0</v>
      </c>
      <c r="J27" s="2">
        <f>E27+I27</f>
        <v>0</v>
      </c>
      <c r="K27" s="116"/>
      <c r="L27" s="1"/>
      <c r="M27" s="1"/>
      <c r="N27" s="23"/>
    </row>
    <row r="28" spans="1:14">
      <c r="A28" s="22"/>
      <c r="B28" s="2"/>
      <c r="C28" s="2"/>
      <c r="D28" s="2"/>
      <c r="E28" s="2">
        <f>B28+C28+D28</f>
        <v>0</v>
      </c>
      <c r="F28" s="2"/>
      <c r="G28" s="3"/>
      <c r="H28" s="2"/>
      <c r="I28" s="2">
        <f>F28+G27+H28</f>
        <v>0</v>
      </c>
      <c r="J28" s="2">
        <f>E28+I28</f>
        <v>0</v>
      </c>
      <c r="K28" s="116"/>
      <c r="L28" s="1"/>
      <c r="M28" s="1"/>
      <c r="N28" s="23"/>
    </row>
    <row r="29" spans="1:14">
      <c r="A29" s="21" t="s">
        <v>25</v>
      </c>
      <c r="B29" s="3">
        <v>40</v>
      </c>
      <c r="C29" s="3">
        <v>40</v>
      </c>
      <c r="D29" s="3">
        <v>80</v>
      </c>
      <c r="E29" s="3">
        <v>160</v>
      </c>
      <c r="F29" s="3">
        <v>40</v>
      </c>
      <c r="G29" s="3">
        <v>40</v>
      </c>
      <c r="H29" s="3">
        <v>80</v>
      </c>
      <c r="I29" s="3">
        <v>160</v>
      </c>
      <c r="J29" s="3">
        <v>320</v>
      </c>
      <c r="K29" s="116"/>
      <c r="L29" s="1"/>
      <c r="M29" s="1"/>
      <c r="N29" s="23"/>
    </row>
    <row r="30" spans="1:14">
      <c r="A30" s="22" t="str">
        <f>'LISTE DES ELEVES'!BN1</f>
        <v xml:space="preserve">DESSIN D'ELECTRIICITE </v>
      </c>
      <c r="B30" s="2">
        <f>IF(I5&lt;&gt;"",VLOOKUP(I5,'LISTE DES ELEVES'!A3:DQ100,66,FALSE))</f>
        <v>32</v>
      </c>
      <c r="C30" s="2">
        <f>IF(I5&lt;&gt;"",VLOOKUP(I5,'LISTE DES ELEVES'!A3:DQ100,67,FALSE))</f>
        <v>0</v>
      </c>
      <c r="D30" s="2">
        <f>IF(I5&lt;&gt;"",VLOOKUP(I5,'LISTE DES ELEVES'!A3:DQ100,68,FALSE))</f>
        <v>0</v>
      </c>
      <c r="E30" s="2">
        <f>B30+C30+D30</f>
        <v>32</v>
      </c>
      <c r="F30" s="2">
        <f>IF(I5&lt;&gt;"",VLOOKUP(I5,'LISTE DES ELEVES'!A3:DQ100,69,FALSE))</f>
        <v>0</v>
      </c>
      <c r="G30" s="2">
        <f>IF(I5&lt;&gt;"",VLOOKUP(I5,'LISTE DES ELEVES'!A3:DQ100,70,FALSE))</f>
        <v>0</v>
      </c>
      <c r="H30" s="2">
        <f>IF(I5&lt;&gt;"",VLOOKUP(I5,'LISTE DES ELEVES'!A3:DQ100,71,FALSE))</f>
        <v>0</v>
      </c>
      <c r="I30" s="2">
        <f>F30+G30+H30</f>
        <v>0</v>
      </c>
      <c r="J30" s="2">
        <f>E30+I30</f>
        <v>32</v>
      </c>
      <c r="K30" s="116"/>
      <c r="L30" s="1"/>
      <c r="M30" s="1"/>
      <c r="N30" s="23"/>
    </row>
    <row r="31" spans="1:14">
      <c r="A31" s="22"/>
      <c r="B31" s="2"/>
      <c r="C31" s="2"/>
      <c r="D31" s="2"/>
      <c r="E31" s="2">
        <f>B31+C31+D31</f>
        <v>0</v>
      </c>
      <c r="F31" s="2"/>
      <c r="G31" s="2"/>
      <c r="H31" s="2"/>
      <c r="I31" s="2">
        <f t="shared" ref="I31:I36" si="3">F31+G30+H31</f>
        <v>0</v>
      </c>
      <c r="J31" s="2">
        <f>E31+I31</f>
        <v>0</v>
      </c>
      <c r="K31" s="116"/>
      <c r="L31" s="1"/>
      <c r="M31" s="1"/>
      <c r="N31" s="23"/>
    </row>
    <row r="32" spans="1:14">
      <c r="A32" s="24" t="str">
        <f>'LISTE DES ELEVES'!BT1</f>
        <v>ELECTRICITE GENERALE</v>
      </c>
      <c r="B32" s="2">
        <f>IF(I5&lt;&gt;"",VLOOKUP(I5,'LISTE DES ELEVES'!A3:DQ100,72,FALSE))</f>
        <v>36</v>
      </c>
      <c r="C32" s="2">
        <f>IF(I5&lt;&gt;"",VLOOKUP(I5,'LISTE DES ELEVES'!A3:DQ100,73,FALSE))</f>
        <v>0</v>
      </c>
      <c r="D32" s="2">
        <f>IF(I5&lt;&gt;"",VLOOKUP(I5,'LISTE DES ELEVES'!A3:DQ100,74,FALSE))</f>
        <v>0</v>
      </c>
      <c r="E32" s="2">
        <f>B32+C32+D32</f>
        <v>36</v>
      </c>
      <c r="F32" s="2">
        <f>IF(I5&lt;&gt;"",VLOOKUP(I5,'LISTE DES ELEVES'!A3:DQ100,75,FALSE))</f>
        <v>0</v>
      </c>
      <c r="G32" s="2">
        <f>IF(I5&lt;&gt;"",VLOOKUP(I5,'LISTE DES ELEVES'!A3:DQ100,76,FALSE))</f>
        <v>0</v>
      </c>
      <c r="H32" s="2">
        <f>IF(I5&lt;&gt;"",VLOOKUP(I5,'LISTE DES ELEVES'!A3:DQ100,77,FALSE))</f>
        <v>0</v>
      </c>
      <c r="I32" s="2">
        <f t="shared" si="3"/>
        <v>0</v>
      </c>
      <c r="J32" s="2">
        <f>E32+I32</f>
        <v>36</v>
      </c>
      <c r="K32" s="116"/>
      <c r="L32" s="1"/>
      <c r="M32" s="1"/>
      <c r="N32" s="23"/>
    </row>
    <row r="33" spans="1:14">
      <c r="A33" s="24" t="str">
        <f>'LISTE DES ELEVES'!BZ1</f>
        <v xml:space="preserve">MACHINES ELECTRIQUES </v>
      </c>
      <c r="B33" s="2">
        <f>IF(I5&lt;&gt;"",VLOOKUP(I5,'LISTE DES ELEVES'!A3:DQ100,78,FALSE))</f>
        <v>30</v>
      </c>
      <c r="C33" s="2">
        <f>IF(I5&lt;&gt;"",VLOOKUP(I5,'LISTE DES ELEVES'!A3:DQ100,79,FALSE))</f>
        <v>0</v>
      </c>
      <c r="D33" s="2">
        <f>IF(I5&lt;&gt;"",VLOOKUP(I5,'LISTE DES ELEVES'!A3:DQ100,80,FALSE))</f>
        <v>0</v>
      </c>
      <c r="E33" s="2">
        <f>B33+C33+D33</f>
        <v>30</v>
      </c>
      <c r="F33" s="2">
        <f>IF(I5&lt;&gt;"",VLOOKUP(I5,'LISTE DES ELEVES'!A3:DQ100,81,FALSE))</f>
        <v>0</v>
      </c>
      <c r="G33" s="2">
        <f>IF(I5&lt;&gt;"",VLOOKUP(I5,'LISTE DES ELEVES'!A3:DQ100,82,FALSE))</f>
        <v>0</v>
      </c>
      <c r="H33" s="2">
        <f>IF(I5&lt;&gt;"",VLOOKUP(I5,'LISTE DES ELEVES'!A3:DQ100,83,FALSE))</f>
        <v>0</v>
      </c>
      <c r="I33" s="2">
        <f t="shared" si="3"/>
        <v>0</v>
      </c>
      <c r="J33" s="2">
        <f>E33+I33</f>
        <v>30</v>
      </c>
      <c r="K33" s="116"/>
      <c r="L33" s="1"/>
      <c r="M33" s="1"/>
      <c r="N33" s="23"/>
    </row>
    <row r="34" spans="1:14">
      <c r="A34" s="22" t="str">
        <f>'LISTE DES ELEVES'!CF1</f>
        <v xml:space="preserve">TECHNO-ELECTRICITE </v>
      </c>
      <c r="B34" s="2">
        <f>IF(I5&lt;&gt;"",VLOOKUP(I5,'LISTE DES ELEVES'!A3:DQ100,84,FALSE))</f>
        <v>24</v>
      </c>
      <c r="C34" s="2">
        <f>IF(I5&lt;&gt;"",VLOOKUP(I5,'LISTE DES ELEVES'!A3:DQ100,85,FALSE))</f>
        <v>0</v>
      </c>
      <c r="D34" s="2">
        <f>IF(I5&lt;&gt;"",VLOOKUP(I5,'LISTE DES ELEVES'!A3:DQ100,86,FALSE))</f>
        <v>0</v>
      </c>
      <c r="E34" s="2">
        <f>B34+C34+D34</f>
        <v>24</v>
      </c>
      <c r="F34" s="2">
        <f>IF(I5&lt;&gt;"",VLOOKUP(I5,'LISTE DES ELEVES'!A3:DQ100,87,FALSE))</f>
        <v>0</v>
      </c>
      <c r="G34" s="2">
        <f>IF(I5&lt;&gt;"",VLOOKUP(I5,'LISTE DES ELEVES'!A3:DQ100,88,FALSE))</f>
        <v>0</v>
      </c>
      <c r="H34" s="2">
        <f>IF(I5&lt;&gt;"",VLOOKUP(I5,'LISTE DES ELEVES'!A3:DQ100,89,FALSE))</f>
        <v>0</v>
      </c>
      <c r="I34" s="2">
        <f t="shared" si="3"/>
        <v>0</v>
      </c>
      <c r="J34" s="2">
        <f>E34+I34</f>
        <v>24</v>
      </c>
      <c r="K34" s="116"/>
      <c r="L34" s="1"/>
      <c r="M34" s="1"/>
      <c r="N34" s="23"/>
    </row>
    <row r="35" spans="1:14">
      <c r="A35" s="22"/>
      <c r="B35" s="2"/>
      <c r="C35" s="2"/>
      <c r="D35" s="2"/>
      <c r="E35" s="2">
        <f t="shared" si="1"/>
        <v>0</v>
      </c>
      <c r="F35" s="2"/>
      <c r="G35" s="2"/>
      <c r="H35" s="2"/>
      <c r="I35" s="2">
        <f t="shared" si="3"/>
        <v>0</v>
      </c>
      <c r="J35" s="2">
        <f t="shared" si="2"/>
        <v>0</v>
      </c>
      <c r="K35" s="116"/>
      <c r="L35" s="1"/>
      <c r="M35" s="1"/>
      <c r="N35" s="23"/>
    </row>
    <row r="36" spans="1:14">
      <c r="A36" s="22"/>
      <c r="B36" s="2"/>
      <c r="C36" s="2"/>
      <c r="D36" s="2"/>
      <c r="E36" s="2">
        <f t="shared" si="1"/>
        <v>0</v>
      </c>
      <c r="F36" s="2"/>
      <c r="G36" s="3"/>
      <c r="H36" s="2"/>
      <c r="I36" s="2">
        <f t="shared" si="3"/>
        <v>0</v>
      </c>
      <c r="J36" s="2">
        <f t="shared" si="2"/>
        <v>0</v>
      </c>
      <c r="K36" s="116"/>
      <c r="L36" s="1"/>
      <c r="M36" s="1"/>
      <c r="N36" s="23"/>
    </row>
    <row r="37" spans="1:14">
      <c r="A37" s="21" t="s">
        <v>25</v>
      </c>
      <c r="B37" s="3">
        <v>50</v>
      </c>
      <c r="C37" s="3">
        <v>50</v>
      </c>
      <c r="D37" s="3">
        <v>100</v>
      </c>
      <c r="E37" s="3">
        <v>200</v>
      </c>
      <c r="F37" s="3">
        <v>50</v>
      </c>
      <c r="G37" s="3">
        <v>50</v>
      </c>
      <c r="H37" s="3">
        <v>100</v>
      </c>
      <c r="I37" s="3">
        <v>200</v>
      </c>
      <c r="J37" s="3">
        <v>400</v>
      </c>
      <c r="K37" s="116"/>
      <c r="L37" s="133"/>
      <c r="M37" s="134"/>
      <c r="N37" s="135"/>
    </row>
    <row r="38" spans="1:14">
      <c r="A38" s="22" t="str">
        <f>'LISTE DES ELEVES'!CL1</f>
        <v xml:space="preserve">FRANCAIS  </v>
      </c>
      <c r="B38" s="2">
        <f>IF(I5&lt;&gt;"",VLOOKUP(I5,'LISTE DES ELEVES'!A3:DQ100,90,FALSE))</f>
        <v>25</v>
      </c>
      <c r="C38" s="2">
        <f>IF(I5&lt;&gt;"",VLOOKUP(I5,'LISTE DES ELEVES'!A3:DQ100,91,FALSE))</f>
        <v>0</v>
      </c>
      <c r="D38" s="2">
        <f>IF(I5&lt;&gt;"",VLOOKUP(I5,'LISTE DES ELEVES'!A3:DQ100,92,FALSE))</f>
        <v>0</v>
      </c>
      <c r="E38" s="2">
        <f>B38+C38+D38</f>
        <v>25</v>
      </c>
      <c r="F38" s="2">
        <f>IF(I5&lt;&gt;"",VLOOKUP(I5,'LISTE DES ELEVES'!A3:DQ100,93,FALSE))</f>
        <v>0</v>
      </c>
      <c r="G38" s="2">
        <f>IF(I5&lt;&gt;"",VLOOKUP(I5,'LISTE DES ELEVES'!A3:DQ100,94,FALSE))</f>
        <v>0</v>
      </c>
      <c r="H38" s="2">
        <f>IF(I5&lt;&gt;"",VLOOKUP(I5,'LISTE DES ELEVES'!A3:DQ100,95,FALSE))</f>
        <v>0</v>
      </c>
      <c r="I38" s="2">
        <f>F38+G38+H38</f>
        <v>0</v>
      </c>
      <c r="J38" s="2">
        <f>E38+I38</f>
        <v>25</v>
      </c>
      <c r="K38" s="116"/>
      <c r="L38" s="1"/>
      <c r="M38" s="1"/>
      <c r="N38" s="23"/>
    </row>
    <row r="39" spans="1:14">
      <c r="A39" s="22" t="str">
        <f>'LISTE DES ELEVES'!CR1</f>
        <v xml:space="preserve">MATHEMATIQUE </v>
      </c>
      <c r="B39" s="2">
        <f>IF(I5&lt;&gt;"",VLOOKUP(I5,'LISTE DES ELEVES'!A3:DQ100,96,FALSE))</f>
        <v>29</v>
      </c>
      <c r="C39" s="2">
        <f>IF(I5&lt;&gt;"",VLOOKUP(I5,'LISTE DES ELEVES'!A3:DQ100,97,FALSE))</f>
        <v>0</v>
      </c>
      <c r="D39" s="2">
        <f>IF(I5&lt;&gt;"",VLOOKUP(I5,'LISTE DES ELEVES'!A3:DQ100,98,FALSE))</f>
        <v>0</v>
      </c>
      <c r="E39" s="2">
        <f>B39+C39+D39</f>
        <v>29</v>
      </c>
      <c r="F39" s="2">
        <f>IF(I5&lt;&gt;"",VLOOKUP(I5,'LISTE DES ELEVES'!A3:DQ100,99,FALSE))</f>
        <v>0</v>
      </c>
      <c r="G39" s="2">
        <f>IF(I5&lt;&gt;"",VLOOKUP(I5,'LISTE DES ELEVES'!A3:DQ100,100,FALSE))</f>
        <v>0</v>
      </c>
      <c r="H39" s="2">
        <f>IF(I5&lt;&gt;"",VLOOKUP(I5,'LISTE DES ELEVES'!A3:DQ100,101,FALSE))</f>
        <v>0</v>
      </c>
      <c r="I39" s="2">
        <f>F39+G39+H39</f>
        <v>0</v>
      </c>
      <c r="J39" s="2">
        <f>E39+I39</f>
        <v>29</v>
      </c>
      <c r="K39" s="116"/>
      <c r="L39" s="1"/>
      <c r="M39" s="1"/>
      <c r="N39" s="23"/>
    </row>
    <row r="40" spans="1:14">
      <c r="A40" s="22"/>
      <c r="B40" s="2"/>
      <c r="C40" s="60"/>
      <c r="D40" s="60"/>
      <c r="E40" s="60"/>
      <c r="F40" s="2"/>
      <c r="G40" s="3"/>
      <c r="H40" s="2"/>
      <c r="I40" s="2"/>
      <c r="J40" s="2"/>
      <c r="K40" s="116"/>
      <c r="L40" s="1"/>
      <c r="M40" s="1"/>
      <c r="N40" s="23"/>
    </row>
    <row r="41" spans="1:14">
      <c r="A41" s="21" t="s">
        <v>25</v>
      </c>
      <c r="B41" s="26">
        <v>100</v>
      </c>
      <c r="C41" s="3">
        <v>100</v>
      </c>
      <c r="D41" s="136"/>
      <c r="E41" s="3">
        <v>200</v>
      </c>
      <c r="F41" s="27">
        <v>100</v>
      </c>
      <c r="G41" s="3">
        <v>100</v>
      </c>
      <c r="H41" s="136"/>
      <c r="I41" s="3">
        <v>200</v>
      </c>
      <c r="J41" s="3">
        <v>400</v>
      </c>
      <c r="K41" s="116"/>
      <c r="L41" s="1"/>
      <c r="M41" s="1"/>
      <c r="N41" s="23"/>
    </row>
    <row r="42" spans="1:14">
      <c r="A42" s="22" t="str">
        <f>'LISTE DES ELEVES'!CX1</f>
        <v>Atelier Electricite</v>
      </c>
      <c r="B42" s="61">
        <f>IF(I5&lt;&gt;"",VLOOKUP(I5,'LISTE DES ELEVES'!A3:DQ100,102,FALSE))</f>
        <v>60</v>
      </c>
      <c r="C42" s="62">
        <f>IF(I5&lt;&gt;"",VLOOKUP(I5,'LISTE DES ELEVES'!A3:DQ100,103,FALSE))</f>
        <v>0</v>
      </c>
      <c r="D42" s="116"/>
      <c r="E42" s="62">
        <f>B42+C42</f>
        <v>60</v>
      </c>
      <c r="F42" s="63">
        <f>IF(I5&lt;&gt;"",VLOOKUP(I5,'LISTE DES ELEVES'!A3:DQ100,104,FALSE))</f>
        <v>0</v>
      </c>
      <c r="G42" s="2">
        <f>IF(I5&lt;&gt;"",VLOOKUP(I5,'LISTE DES ELEVES'!A3:DQ100,105,FALSE))</f>
        <v>0</v>
      </c>
      <c r="H42" s="116"/>
      <c r="I42" s="62">
        <f>F42+G42</f>
        <v>0</v>
      </c>
      <c r="J42" s="62">
        <f>E42+I42</f>
        <v>60</v>
      </c>
      <c r="K42" s="116"/>
      <c r="L42" s="1"/>
      <c r="M42" s="1"/>
      <c r="N42" s="23"/>
    </row>
    <row r="43" spans="1:14">
      <c r="A43" s="22" t="str">
        <f>'LISTE DES ELEVES'!DB1</f>
        <v xml:space="preserve">Labo  Electrique </v>
      </c>
      <c r="B43" s="33">
        <f>IF(I5&lt;&gt;"",VLOOKUP(I5,'LISTE DES ELEVES'!A3:DQ100,106,FALSE))</f>
        <v>60</v>
      </c>
      <c r="C43" s="2">
        <f>IF(I5&lt;&gt;"",VLOOKUP(I5,'LISTE DES ELEVES'!A3:DQ100,107,FALSE))</f>
        <v>0</v>
      </c>
      <c r="D43" s="117"/>
      <c r="E43" s="2">
        <f>B43+C43</f>
        <v>60</v>
      </c>
      <c r="F43" s="64">
        <f>IF(I5&lt;&gt;"",VLOOKUP(I5,'LISTE DES ELEVES'!A3:DQ100,108,FALSE))</f>
        <v>0</v>
      </c>
      <c r="G43" s="61">
        <f>IF(I5&lt;&gt;"",VLOOKUP(I5,'LISTE DES ELEVES'!A3:DQ100,109,FALSE))</f>
        <v>0</v>
      </c>
      <c r="H43" s="117"/>
      <c r="I43" s="2">
        <f>F43+G42</f>
        <v>0</v>
      </c>
      <c r="J43" s="2">
        <f>E43+I43</f>
        <v>60</v>
      </c>
      <c r="K43" s="116"/>
      <c r="L43" s="1"/>
      <c r="M43" s="1"/>
      <c r="N43" s="23"/>
    </row>
    <row r="44" spans="1:14">
      <c r="A44" s="21" t="s">
        <v>28</v>
      </c>
      <c r="B44" s="26">
        <f>(10*3)+(20*7)+(40*4)+(50*2)+(100*2)</f>
        <v>630</v>
      </c>
      <c r="C44" s="26">
        <f>(10*3)+(20*7)+(40*4)+(50*2)+(100*2)</f>
        <v>630</v>
      </c>
      <c r="D44" s="29">
        <f>(20*3)+(40*7)+(80*4)+(100*2)</f>
        <v>860</v>
      </c>
      <c r="E44" s="3">
        <f>(40*3)+(80*7)+(160*4)+(200*4)</f>
        <v>2120</v>
      </c>
      <c r="F44" s="26">
        <f>(10*3)+(20*7)+(40*4)+(50*2)+(100*2)</f>
        <v>630</v>
      </c>
      <c r="G44" s="80">
        <f>(10*3)+(20*7)+(40*4)+(50*2)+(100*2)</f>
        <v>630</v>
      </c>
      <c r="H44" s="29">
        <f>(20*3)+(40*7)+(80*4)+(100*2)</f>
        <v>860</v>
      </c>
      <c r="I44" s="3">
        <f>(40*3)+(80*7)+(160*4)+(200*4)</f>
        <v>2120</v>
      </c>
      <c r="J44" s="3">
        <f>(80*3)+(160*7)+(320*4)+(400*4)</f>
        <v>4240</v>
      </c>
      <c r="K44" s="116"/>
      <c r="L44" s="133"/>
      <c r="M44" s="134"/>
      <c r="N44" s="135"/>
    </row>
    <row r="45" spans="1:14">
      <c r="A45" s="21" t="s">
        <v>29</v>
      </c>
      <c r="B45" s="33">
        <f>B14+B15+B16+B18+B19+B20+B21+B22+B23+B24+B25+B26+B27+B28+B30+B31+B32+B33+B34+B35+B38+B39+B42+B43</f>
        <v>393</v>
      </c>
      <c r="C45" s="33">
        <f>C14+C15+C16+C18+C19+C20+C21+C22+C23+C24+C30+C32+C33+C34+C38+C39+C42+C43</f>
        <v>0</v>
      </c>
      <c r="D45" s="30">
        <f>D14+D15+D16+D18+D19+D20+D21+D22+D23+D24+D26+D27+D27+D28+D30+D32+D33+D34+D35+D36+D38+D39+D40</f>
        <v>0</v>
      </c>
      <c r="E45" s="2">
        <f>E14+E15+E16+E18+E19+E20+E21+E22+E23+E24+E25+E26+E27+E28+E30+E31+E32+E33+E34+E35+E36+E38+E39+E40+E42+E43</f>
        <v>393</v>
      </c>
      <c r="F45" s="33">
        <f>F14+F15+F16+F18+F19+F20+F21+F22+F23+F24+F26+F27+F28+F30+F32+F33+F34+F35+F36+F38+F39+F40+F42+F43</f>
        <v>0</v>
      </c>
      <c r="G45" s="33">
        <f>G14+G15+G16+G18+G19+G20+G21+G22+G23+G24+G30+G32+G33+G34+G38+G39+G42+G43</f>
        <v>0</v>
      </c>
      <c r="H45" s="30">
        <f>H14+H15+H16+H18+H19+H20+H21+H22+H23+H24+H26+H27+H27+H28+H30+H32+H33+H34+H35+H36+H38+H39+H40</f>
        <v>0</v>
      </c>
      <c r="I45" s="2">
        <f>I14+I15+I16+I18+I19+I20+I23+I25+I27+I28+I30+I31+I32+I33+I34+I38+I39+I40+I42+I43</f>
        <v>0</v>
      </c>
      <c r="J45" s="2">
        <f>J14+J15+J16+J18+J19+J20+J21+J22+J23+J24+J26+J27+J28+J30+J31+J32+J33+J34+J35+J36+J38+J39+J40+J42+J43</f>
        <v>393</v>
      </c>
      <c r="K45" s="116"/>
      <c r="L45" s="31" t="s">
        <v>30</v>
      </c>
      <c r="M45" s="31"/>
      <c r="N45" s="32"/>
    </row>
    <row r="46" spans="1:14">
      <c r="A46" s="21" t="s">
        <v>31</v>
      </c>
      <c r="B46" s="33">
        <f>B45*100/B44</f>
        <v>62.38095238095238</v>
      </c>
      <c r="C46" s="33">
        <f>C45*100/C44</f>
        <v>0</v>
      </c>
      <c r="D46" s="30">
        <f>D45*100/D44</f>
        <v>0</v>
      </c>
      <c r="E46" s="2">
        <f t="shared" ref="E46:I46" si="4">E45*100/E44</f>
        <v>18.537735849056602</v>
      </c>
      <c r="F46" s="33">
        <f>F45*100/F44</f>
        <v>0</v>
      </c>
      <c r="G46">
        <f>G45*100/G44</f>
        <v>0</v>
      </c>
      <c r="H46" s="30">
        <f>H45*100/H44</f>
        <v>0</v>
      </c>
      <c r="I46" s="2">
        <f t="shared" si="4"/>
        <v>0</v>
      </c>
      <c r="J46" s="2">
        <f>J45*100/J44</f>
        <v>9.2688679245283012</v>
      </c>
      <c r="K46" s="116"/>
      <c r="L46" s="31" t="s">
        <v>32</v>
      </c>
      <c r="M46" s="31"/>
      <c r="N46" s="32"/>
    </row>
    <row r="47" spans="1:14">
      <c r="A47" s="21" t="s">
        <v>33</v>
      </c>
      <c r="B47" s="33" t="s">
        <v>34</v>
      </c>
      <c r="C47" s="2" t="s">
        <v>34</v>
      </c>
      <c r="D47" s="30" t="s">
        <v>34</v>
      </c>
      <c r="E47" s="2" t="s">
        <v>34</v>
      </c>
      <c r="F47" s="28" t="s">
        <v>35</v>
      </c>
      <c r="G47" s="1" t="s">
        <v>35</v>
      </c>
      <c r="H47" s="30" t="s">
        <v>34</v>
      </c>
      <c r="I47" s="1" t="s">
        <v>36</v>
      </c>
      <c r="J47" s="1" t="s">
        <v>36</v>
      </c>
      <c r="K47" s="116"/>
      <c r="L47" s="34" t="s">
        <v>37</v>
      </c>
      <c r="M47" s="34"/>
      <c r="N47" s="35"/>
    </row>
    <row r="48" spans="1:14">
      <c r="A48" s="21" t="s">
        <v>38</v>
      </c>
      <c r="B48" s="1"/>
      <c r="C48" s="36"/>
      <c r="D48" s="126"/>
      <c r="E48" s="127"/>
      <c r="G48" s="1"/>
      <c r="H48" s="37"/>
      <c r="I48" s="38"/>
      <c r="J48" s="39"/>
      <c r="K48" s="116"/>
      <c r="L48" s="1" t="s">
        <v>39</v>
      </c>
      <c r="M48" s="1"/>
      <c r="N48" s="23"/>
    </row>
    <row r="49" spans="1:14">
      <c r="A49" s="21" t="s">
        <v>40</v>
      </c>
      <c r="B49" s="1"/>
      <c r="C49" s="1"/>
      <c r="D49" s="128"/>
      <c r="E49" s="129"/>
      <c r="G49" s="2"/>
      <c r="H49" s="40"/>
      <c r="I49" s="41"/>
      <c r="J49" s="42"/>
      <c r="K49" s="117"/>
      <c r="L49" s="43" t="s">
        <v>41</v>
      </c>
      <c r="M49" s="43"/>
      <c r="N49" s="44"/>
    </row>
    <row r="50" spans="1:14" ht="15.75" thickBot="1">
      <c r="A50" s="45" t="s">
        <v>42</v>
      </c>
      <c r="B50" s="95"/>
      <c r="C50" s="96"/>
      <c r="D50" s="96"/>
      <c r="E50" s="96"/>
      <c r="F50" s="97"/>
      <c r="G50" s="86"/>
      <c r="H50" s="65"/>
      <c r="I50" s="65"/>
      <c r="J50" s="65"/>
      <c r="K50" s="66"/>
      <c r="L50" s="46" t="s">
        <v>43</v>
      </c>
      <c r="M50" s="46"/>
      <c r="N50" s="47"/>
    </row>
    <row r="51" spans="1:14" ht="15.75" thickTop="1">
      <c r="A51" s="48" t="s">
        <v>44</v>
      </c>
      <c r="B51" s="49"/>
      <c r="C51" s="49"/>
      <c r="D51" s="49"/>
      <c r="E51" s="49"/>
      <c r="F51" s="49"/>
      <c r="G51" s="52"/>
      <c r="H51" s="49"/>
      <c r="I51" s="49"/>
      <c r="J51" s="49"/>
      <c r="K51" s="49"/>
      <c r="L51" s="49"/>
      <c r="M51" s="49"/>
      <c r="N51" s="50"/>
    </row>
    <row r="52" spans="1:14">
      <c r="A52" s="51" t="s">
        <v>45</v>
      </c>
      <c r="B52" s="52"/>
      <c r="C52" s="52"/>
      <c r="D52" s="52"/>
      <c r="E52" s="52"/>
      <c r="F52" s="52"/>
      <c r="G52" s="13"/>
      <c r="H52" s="52"/>
      <c r="I52" s="52"/>
      <c r="J52" s="52"/>
      <c r="K52" s="52"/>
      <c r="L52" s="52"/>
      <c r="M52" s="52"/>
      <c r="N52" s="53"/>
    </row>
    <row r="53" spans="1:14">
      <c r="A53" s="54" t="s">
        <v>46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5"/>
    </row>
    <row r="54" spans="1:14">
      <c r="A54" s="54" t="s">
        <v>47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5"/>
    </row>
    <row r="55" spans="1:14">
      <c r="A55" s="54" t="s">
        <v>48</v>
      </c>
      <c r="B55" s="13"/>
      <c r="C55" s="13"/>
      <c r="D55" s="13"/>
      <c r="E55" s="13"/>
      <c r="F55" s="13"/>
      <c r="G55" s="55" t="s">
        <v>51</v>
      </c>
      <c r="H55" s="13"/>
      <c r="I55" s="13" t="s">
        <v>49</v>
      </c>
      <c r="J55" s="13"/>
      <c r="K55" s="13"/>
      <c r="L55" s="13"/>
      <c r="M55" s="13"/>
      <c r="N55" s="15"/>
    </row>
    <row r="56" spans="1:14">
      <c r="A56" s="12" t="s">
        <v>50</v>
      </c>
      <c r="B56" s="13"/>
      <c r="C56" s="13"/>
      <c r="D56" s="14" t="s">
        <v>43</v>
      </c>
      <c r="E56" s="14"/>
      <c r="F56" s="14"/>
      <c r="G56" s="13"/>
      <c r="H56" s="55"/>
      <c r="I56" s="55"/>
      <c r="J56" s="55"/>
      <c r="K56" s="13"/>
      <c r="L56" s="13"/>
      <c r="M56" s="13"/>
      <c r="N56" s="15"/>
    </row>
    <row r="57" spans="1:14">
      <c r="A57" s="54"/>
      <c r="B57" s="13"/>
      <c r="C57" s="13"/>
      <c r="D57" s="13"/>
      <c r="E57" s="13"/>
      <c r="F57" s="13"/>
      <c r="G57" s="14" t="s">
        <v>52</v>
      </c>
      <c r="H57" s="13"/>
      <c r="I57" s="13"/>
      <c r="J57" s="13"/>
      <c r="K57" s="13"/>
      <c r="L57" s="13"/>
      <c r="M57" s="13"/>
      <c r="N57" s="15"/>
    </row>
    <row r="58" spans="1:14">
      <c r="A58" s="54"/>
      <c r="B58" s="13"/>
      <c r="C58" s="13"/>
      <c r="D58" s="13"/>
      <c r="E58" s="13"/>
      <c r="F58" s="13"/>
      <c r="G58" s="13"/>
      <c r="H58" s="14"/>
      <c r="I58" s="14"/>
      <c r="J58" s="13"/>
      <c r="K58" s="13"/>
      <c r="L58" s="13"/>
      <c r="M58" s="13"/>
      <c r="N58" s="15"/>
    </row>
    <row r="59" spans="1:14">
      <c r="A59" s="5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5"/>
    </row>
    <row r="60" spans="1:14">
      <c r="A60" s="56" t="s">
        <v>53</v>
      </c>
      <c r="B60" s="57"/>
      <c r="C60" s="57"/>
      <c r="D60" s="13"/>
      <c r="E60" s="13"/>
      <c r="F60" s="13"/>
      <c r="G60" s="49"/>
      <c r="H60" s="13"/>
      <c r="I60" s="13"/>
      <c r="J60" s="13"/>
      <c r="K60" s="13"/>
      <c r="L60" s="13"/>
      <c r="M60" s="13"/>
      <c r="N60" s="15"/>
    </row>
    <row r="61" spans="1:14" ht="15.75" thickBot="1">
      <c r="A61" s="58" t="s">
        <v>54</v>
      </c>
      <c r="B61" s="59"/>
      <c r="C61" s="59"/>
      <c r="D61" s="59"/>
      <c r="E61" s="59"/>
      <c r="F61" s="59"/>
      <c r="H61" s="18"/>
      <c r="I61" s="18"/>
      <c r="J61" s="18"/>
      <c r="K61" s="18"/>
      <c r="L61" s="19" t="s">
        <v>55</v>
      </c>
      <c r="M61" s="19"/>
      <c r="N61" s="20"/>
    </row>
    <row r="62" spans="1:14" ht="15.75" thickTop="1">
      <c r="G62" s="8"/>
    </row>
  </sheetData>
  <mergeCells count="24">
    <mergeCell ref="F10:I10"/>
    <mergeCell ref="A9:N9"/>
    <mergeCell ref="L44:N44"/>
    <mergeCell ref="L13:N13"/>
    <mergeCell ref="L17:N17"/>
    <mergeCell ref="L37:N37"/>
    <mergeCell ref="D41:D43"/>
    <mergeCell ref="H41:H43"/>
    <mergeCell ref="B50:F50"/>
    <mergeCell ref="M12:N12"/>
    <mergeCell ref="A1:N1"/>
    <mergeCell ref="A2:N2"/>
    <mergeCell ref="A10:A12"/>
    <mergeCell ref="B10:E10"/>
    <mergeCell ref="J10:J12"/>
    <mergeCell ref="K10:K49"/>
    <mergeCell ref="L10:N11"/>
    <mergeCell ref="B11:C11"/>
    <mergeCell ref="D11:D12"/>
    <mergeCell ref="E11:E12"/>
    <mergeCell ref="F11:G11"/>
    <mergeCell ref="H11:H12"/>
    <mergeCell ref="I11:I12"/>
    <mergeCell ref="D48:E49"/>
  </mergeCells>
  <dataValidations count="1">
    <dataValidation type="list" allowBlank="1" showInputMessage="1" showErrorMessage="1" sqref="I5">
      <formula1>'LISTE DES ELEVES'!$A$3:$A$150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DQ62"/>
  <sheetViews>
    <sheetView topLeftCell="CE1" zoomScale="80" zoomScaleNormal="80" workbookViewId="0">
      <selection activeCell="C57" sqref="C57"/>
    </sheetView>
  </sheetViews>
  <sheetFormatPr baseColWidth="10" defaultRowHeight="15"/>
  <cols>
    <col min="1" max="1" width="27" style="1" customWidth="1"/>
    <col min="2" max="2" width="9" customWidth="1"/>
    <col min="3" max="3" width="25.7109375" customWidth="1"/>
    <col min="4" max="4" width="18.42578125" customWidth="1"/>
    <col min="5" max="5" width="13.28515625" customWidth="1"/>
    <col min="6" max="6" width="7.42578125" bestFit="1" customWidth="1"/>
    <col min="7" max="7" width="6.85546875" customWidth="1"/>
    <col min="8" max="8" width="7" customWidth="1"/>
    <col min="9" max="9" width="6.85546875" customWidth="1"/>
    <col min="10" max="10" width="7.140625" customWidth="1"/>
    <col min="11" max="11" width="6.7109375" customWidth="1"/>
    <col min="12" max="12" width="6" customWidth="1"/>
    <col min="13" max="13" width="6.140625" customWidth="1"/>
    <col min="14" max="14" width="5" customWidth="1"/>
    <col min="15" max="15" width="5.5703125" customWidth="1"/>
    <col min="16" max="16" width="6.28515625" customWidth="1"/>
    <col min="17" max="17" width="4.5703125" customWidth="1"/>
    <col min="18" max="18" width="6.5703125" customWidth="1"/>
    <col min="19" max="19" width="6.140625" customWidth="1"/>
    <col min="20" max="20" width="4.7109375" customWidth="1"/>
    <col min="21" max="21" width="5.28515625" customWidth="1"/>
    <col min="22" max="22" width="6.28515625" customWidth="1"/>
    <col min="23" max="23" width="5.5703125" customWidth="1"/>
    <col min="24" max="24" width="6.5703125" customWidth="1"/>
    <col min="25" max="25" width="6.140625" customWidth="1"/>
    <col min="26" max="26" width="5.5703125" customWidth="1"/>
    <col min="27" max="27" width="6.28515625" bestFit="1" customWidth="1"/>
    <col min="28" max="28" width="6" customWidth="1"/>
    <col min="29" max="29" width="5.5703125" customWidth="1"/>
    <col min="30" max="30" width="7" customWidth="1"/>
    <col min="31" max="31" width="7.28515625" customWidth="1"/>
    <col min="32" max="32" width="6.42578125" customWidth="1"/>
    <col min="33" max="33" width="5.85546875" customWidth="1"/>
    <col min="34" max="34" width="5.140625" customWidth="1"/>
    <col min="35" max="35" width="4.85546875" customWidth="1"/>
    <col min="36" max="36" width="6.5703125" customWidth="1"/>
    <col min="37" max="37" width="5.85546875" customWidth="1"/>
    <col min="38" max="38" width="5.7109375" customWidth="1"/>
    <col min="39" max="39" width="5.140625" customWidth="1"/>
    <col min="40" max="40" width="5.7109375" customWidth="1"/>
    <col min="41" max="42" width="6" customWidth="1"/>
    <col min="43" max="43" width="6.140625" customWidth="1"/>
    <col min="44" max="44" width="5.7109375" customWidth="1"/>
    <col min="45" max="45" width="6" customWidth="1"/>
    <col min="46" max="46" width="5.85546875" customWidth="1"/>
    <col min="47" max="47" width="6" customWidth="1"/>
    <col min="48" max="48" width="6.5703125" customWidth="1"/>
    <col min="49" max="49" width="6" customWidth="1"/>
    <col min="50" max="50" width="5.7109375" customWidth="1"/>
    <col min="51" max="51" width="4.7109375" customWidth="1"/>
    <col min="52" max="53" width="6" customWidth="1"/>
    <col min="54" max="54" width="6.28515625" customWidth="1"/>
    <col min="55" max="56" width="5.85546875" customWidth="1"/>
    <col min="57" max="57" width="5.5703125" customWidth="1"/>
    <col min="58" max="58" width="5.42578125" customWidth="1"/>
    <col min="59" max="59" width="5.28515625" customWidth="1"/>
    <col min="60" max="60" width="6.42578125" customWidth="1"/>
    <col min="61" max="61" width="6.7109375" customWidth="1"/>
    <col min="62" max="62" width="6.85546875" customWidth="1"/>
    <col min="63" max="63" width="5.85546875" customWidth="1"/>
    <col min="64" max="64" width="5.28515625" customWidth="1"/>
    <col min="65" max="65" width="5.85546875" customWidth="1"/>
    <col min="66" max="66" width="6.140625" customWidth="1"/>
    <col min="67" max="67" width="5.7109375" customWidth="1"/>
    <col min="68" max="68" width="5.42578125" customWidth="1"/>
    <col min="69" max="69" width="5.85546875" customWidth="1"/>
    <col min="70" max="70" width="5.28515625" customWidth="1"/>
    <col min="71" max="71" width="5.42578125" customWidth="1"/>
    <col min="72" max="72" width="6.5703125" customWidth="1"/>
    <col min="73" max="73" width="6.140625" customWidth="1"/>
    <col min="74" max="74" width="5.7109375" customWidth="1"/>
    <col min="75" max="75" width="5.28515625" customWidth="1"/>
    <col min="76" max="76" width="5.85546875" customWidth="1"/>
    <col min="77" max="77" width="5.140625" bestFit="1" customWidth="1"/>
    <col min="78" max="78" width="7" customWidth="1"/>
    <col min="79" max="79" width="6.5703125" customWidth="1"/>
    <col min="80" max="80" width="5.28515625" customWidth="1"/>
    <col min="81" max="81" width="6.140625" customWidth="1"/>
    <col min="82" max="82" width="6.28515625" customWidth="1"/>
    <col min="83" max="83" width="5.42578125" customWidth="1"/>
    <col min="84" max="84" width="7.28515625" customWidth="1"/>
    <col min="85" max="85" width="7.140625" bestFit="1" customWidth="1"/>
    <col min="86" max="86" width="5.42578125" customWidth="1"/>
    <col min="87" max="87" width="5.28515625" customWidth="1"/>
    <col min="88" max="88" width="5.7109375" customWidth="1"/>
    <col min="89" max="89" width="6.28515625" customWidth="1"/>
    <col min="90" max="90" width="6.5703125" customWidth="1"/>
    <col min="91" max="91" width="6.42578125" customWidth="1"/>
    <col min="92" max="92" width="6.85546875" customWidth="1"/>
    <col min="93" max="93" width="6.5703125" customWidth="1"/>
    <col min="94" max="94" width="6.28515625" customWidth="1"/>
    <col min="95" max="95" width="7" customWidth="1"/>
    <col min="96" max="96" width="6.42578125" customWidth="1"/>
    <col min="97" max="97" width="6.140625" customWidth="1"/>
    <col min="98" max="98" width="5.42578125" customWidth="1"/>
    <col min="99" max="100" width="5.7109375" customWidth="1"/>
    <col min="101" max="101" width="7.140625" customWidth="1"/>
    <col min="102" max="102" width="7.42578125" customWidth="1"/>
    <col min="103" max="103" width="8.140625" customWidth="1"/>
    <col min="104" max="104" width="7.28515625" bestFit="1" customWidth="1"/>
    <col min="105" max="107" width="7.5703125" customWidth="1"/>
    <col min="108" max="109" width="6.7109375" customWidth="1"/>
  </cols>
  <sheetData>
    <row r="1" spans="1:121" ht="71.25" customHeight="1">
      <c r="A1" s="68" t="s">
        <v>91</v>
      </c>
      <c r="B1" s="71" t="s">
        <v>0</v>
      </c>
      <c r="C1" s="68" t="s">
        <v>1</v>
      </c>
      <c r="D1" s="68" t="s">
        <v>2</v>
      </c>
      <c r="E1" s="68" t="s">
        <v>3</v>
      </c>
      <c r="F1" s="137" t="s">
        <v>66</v>
      </c>
      <c r="G1" s="138"/>
      <c r="H1" s="138"/>
      <c r="I1" s="138"/>
      <c r="J1" s="138"/>
      <c r="K1" s="139"/>
      <c r="L1" s="140" t="s">
        <v>65</v>
      </c>
      <c r="M1" s="141"/>
      <c r="N1" s="141"/>
      <c r="O1" s="141"/>
      <c r="P1" s="141"/>
      <c r="Q1" s="142"/>
      <c r="R1" s="140" t="s">
        <v>189</v>
      </c>
      <c r="S1" s="143"/>
      <c r="T1" s="143"/>
      <c r="U1" s="143"/>
      <c r="V1" s="143"/>
      <c r="W1" s="144"/>
      <c r="X1" s="145" t="s">
        <v>186</v>
      </c>
      <c r="Y1" s="146"/>
      <c r="Z1" s="146"/>
      <c r="AA1" s="146"/>
      <c r="AB1" s="146"/>
      <c r="AC1" s="147"/>
      <c r="AD1" s="148" t="s">
        <v>187</v>
      </c>
      <c r="AE1" s="149"/>
      <c r="AF1" s="149"/>
      <c r="AG1" s="149"/>
      <c r="AH1" s="149"/>
      <c r="AI1" s="150"/>
      <c r="AJ1" s="151" t="s">
        <v>190</v>
      </c>
      <c r="AK1" s="152"/>
      <c r="AL1" s="152"/>
      <c r="AM1" s="152"/>
      <c r="AN1" s="152"/>
      <c r="AO1" s="153"/>
      <c r="AP1" s="154" t="s">
        <v>191</v>
      </c>
      <c r="AQ1" s="155"/>
      <c r="AR1" s="155"/>
      <c r="AS1" s="155"/>
      <c r="AT1" s="155"/>
      <c r="AU1" s="156"/>
      <c r="AV1" s="157" t="s">
        <v>188</v>
      </c>
      <c r="AW1" s="158"/>
      <c r="AX1" s="158"/>
      <c r="AY1" s="158"/>
      <c r="AZ1" s="158"/>
      <c r="BA1" s="159"/>
      <c r="BB1" s="160" t="s">
        <v>192</v>
      </c>
      <c r="BC1" s="161"/>
      <c r="BD1" s="161"/>
      <c r="BE1" s="161"/>
      <c r="BF1" s="161"/>
      <c r="BG1" s="162"/>
      <c r="BH1" s="163" t="s">
        <v>193</v>
      </c>
      <c r="BI1" s="164"/>
      <c r="BJ1" s="164"/>
      <c r="BK1" s="164"/>
      <c r="BL1" s="164"/>
      <c r="BM1" s="165"/>
      <c r="BN1" s="169" t="s">
        <v>194</v>
      </c>
      <c r="BO1" s="170"/>
      <c r="BP1" s="170"/>
      <c r="BQ1" s="170"/>
      <c r="BR1" s="170"/>
      <c r="BS1" s="171"/>
      <c r="BT1" s="172" t="s">
        <v>195</v>
      </c>
      <c r="BU1" s="173"/>
      <c r="BV1" s="173"/>
      <c r="BW1" s="173"/>
      <c r="BX1" s="173"/>
      <c r="BY1" s="174"/>
      <c r="BZ1" s="175" t="s">
        <v>196</v>
      </c>
      <c r="CA1" s="176"/>
      <c r="CB1" s="176"/>
      <c r="CC1" s="176"/>
      <c r="CD1" s="176"/>
      <c r="CE1" s="177"/>
      <c r="CF1" s="178" t="s">
        <v>197</v>
      </c>
      <c r="CG1" s="179"/>
      <c r="CH1" s="179"/>
      <c r="CI1" s="179"/>
      <c r="CJ1" s="179"/>
      <c r="CK1" s="180"/>
      <c r="CL1" s="181" t="s">
        <v>198</v>
      </c>
      <c r="CM1" s="182"/>
      <c r="CN1" s="182"/>
      <c r="CO1" s="182"/>
      <c r="CP1" s="182"/>
      <c r="CQ1" s="183"/>
      <c r="CR1" s="166" t="s">
        <v>199</v>
      </c>
      <c r="CS1" s="167"/>
      <c r="CT1" s="167"/>
      <c r="CU1" s="167"/>
      <c r="CV1" s="167"/>
      <c r="CW1" s="168"/>
      <c r="CX1" s="85" t="s">
        <v>26</v>
      </c>
      <c r="CY1" s="81"/>
      <c r="CZ1" s="84"/>
      <c r="DA1" s="84"/>
      <c r="DB1" s="85" t="s">
        <v>27</v>
      </c>
      <c r="DC1" s="81"/>
      <c r="DD1" s="82"/>
      <c r="DE1" s="83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</row>
    <row r="2" spans="1:121" ht="15.75" thickBot="1">
      <c r="A2" s="73"/>
      <c r="B2" s="72"/>
      <c r="C2" s="67"/>
      <c r="D2" s="67"/>
      <c r="E2" s="67"/>
      <c r="F2" s="2" t="s">
        <v>4</v>
      </c>
      <c r="G2" s="2" t="s">
        <v>61</v>
      </c>
      <c r="H2" s="2" t="s">
        <v>62</v>
      </c>
      <c r="I2" s="2" t="s">
        <v>63</v>
      </c>
      <c r="J2" s="2" t="s">
        <v>64</v>
      </c>
      <c r="K2" s="2" t="s">
        <v>62</v>
      </c>
      <c r="L2" s="2" t="s">
        <v>4</v>
      </c>
      <c r="M2" s="2" t="s">
        <v>61</v>
      </c>
      <c r="N2" s="2" t="s">
        <v>62</v>
      </c>
      <c r="O2" s="2" t="s">
        <v>63</v>
      </c>
      <c r="P2" s="2" t="s">
        <v>64</v>
      </c>
      <c r="Q2" s="2" t="s">
        <v>62</v>
      </c>
      <c r="R2" s="2" t="s">
        <v>4</v>
      </c>
      <c r="S2" s="2" t="s">
        <v>61</v>
      </c>
      <c r="T2" s="2" t="s">
        <v>62</v>
      </c>
      <c r="U2" s="2" t="s">
        <v>63</v>
      </c>
      <c r="V2" s="2" t="s">
        <v>64</v>
      </c>
      <c r="W2" s="2" t="s">
        <v>62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71</v>
      </c>
      <c r="AC2" s="2" t="s">
        <v>69</v>
      </c>
      <c r="AD2" s="2" t="s">
        <v>67</v>
      </c>
      <c r="AE2" s="2" t="s">
        <v>68</v>
      </c>
      <c r="AF2" s="2" t="s">
        <v>69</v>
      </c>
      <c r="AG2" s="2" t="s">
        <v>70</v>
      </c>
      <c r="AH2" s="2" t="s">
        <v>71</v>
      </c>
      <c r="AI2" s="2" t="s">
        <v>69</v>
      </c>
      <c r="AJ2" s="2" t="s">
        <v>67</v>
      </c>
      <c r="AK2" s="2" t="s">
        <v>68</v>
      </c>
      <c r="AL2" s="2" t="s">
        <v>69</v>
      </c>
      <c r="AM2" s="2" t="s">
        <v>70</v>
      </c>
      <c r="AN2" s="2" t="s">
        <v>71</v>
      </c>
      <c r="AO2" s="2" t="s">
        <v>69</v>
      </c>
      <c r="AP2" s="2" t="s">
        <v>67</v>
      </c>
      <c r="AQ2" s="2" t="s">
        <v>68</v>
      </c>
      <c r="AR2" s="2" t="s">
        <v>69</v>
      </c>
      <c r="AS2" s="2" t="s">
        <v>70</v>
      </c>
      <c r="AT2" s="2" t="s">
        <v>71</v>
      </c>
      <c r="AU2" s="2" t="s">
        <v>69</v>
      </c>
      <c r="AV2" s="2" t="s">
        <v>67</v>
      </c>
      <c r="AW2" s="2" t="s">
        <v>68</v>
      </c>
      <c r="AX2" s="2" t="s">
        <v>69</v>
      </c>
      <c r="AY2" s="2" t="s">
        <v>70</v>
      </c>
      <c r="AZ2" s="2" t="s">
        <v>71</v>
      </c>
      <c r="BA2" s="2" t="s">
        <v>69</v>
      </c>
      <c r="BB2" s="2" t="s">
        <v>67</v>
      </c>
      <c r="BC2" s="2" t="s">
        <v>68</v>
      </c>
      <c r="BD2" s="2" t="s">
        <v>69</v>
      </c>
      <c r="BE2" s="2" t="s">
        <v>70</v>
      </c>
      <c r="BF2" s="2" t="s">
        <v>71</v>
      </c>
      <c r="BG2" s="2" t="s">
        <v>69</v>
      </c>
      <c r="BH2" s="2" t="s">
        <v>67</v>
      </c>
      <c r="BI2" s="2" t="s">
        <v>68</v>
      </c>
      <c r="BJ2" s="2" t="s">
        <v>69</v>
      </c>
      <c r="BK2" s="2" t="s">
        <v>70</v>
      </c>
      <c r="BL2" s="2" t="s">
        <v>71</v>
      </c>
      <c r="BM2" s="2" t="s">
        <v>69</v>
      </c>
      <c r="BN2" s="2" t="s">
        <v>72</v>
      </c>
      <c r="BO2" s="2" t="s">
        <v>73</v>
      </c>
      <c r="BP2" s="2" t="s">
        <v>74</v>
      </c>
      <c r="BQ2" s="2" t="s">
        <v>75</v>
      </c>
      <c r="BR2" s="2" t="s">
        <v>76</v>
      </c>
      <c r="BS2" s="2" t="s">
        <v>74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74</v>
      </c>
      <c r="BZ2" s="2" t="s">
        <v>72</v>
      </c>
      <c r="CA2" s="2" t="s">
        <v>73</v>
      </c>
      <c r="CB2" s="2" t="s">
        <v>74</v>
      </c>
      <c r="CC2" s="2" t="s">
        <v>75</v>
      </c>
      <c r="CD2" s="2" t="s">
        <v>76</v>
      </c>
      <c r="CE2" s="2" t="s">
        <v>74</v>
      </c>
      <c r="CF2" s="2" t="s">
        <v>72</v>
      </c>
      <c r="CG2" s="2" t="s">
        <v>73</v>
      </c>
      <c r="CH2" s="2" t="s">
        <v>74</v>
      </c>
      <c r="CI2" s="2" t="s">
        <v>75</v>
      </c>
      <c r="CJ2" s="2" t="s">
        <v>76</v>
      </c>
      <c r="CK2" s="2" t="s">
        <v>74</v>
      </c>
      <c r="CL2" s="2" t="s">
        <v>77</v>
      </c>
      <c r="CM2" s="2" t="s">
        <v>78</v>
      </c>
      <c r="CN2" s="2" t="s">
        <v>79</v>
      </c>
      <c r="CO2" s="2" t="s">
        <v>80</v>
      </c>
      <c r="CP2" s="2" t="s">
        <v>81</v>
      </c>
      <c r="CQ2" s="2" t="s">
        <v>79</v>
      </c>
      <c r="CR2" s="2" t="s">
        <v>77</v>
      </c>
      <c r="CS2" s="2" t="s">
        <v>78</v>
      </c>
      <c r="CT2" s="2" t="s">
        <v>79</v>
      </c>
      <c r="CU2" s="2" t="s">
        <v>80</v>
      </c>
      <c r="CV2" s="2" t="s">
        <v>81</v>
      </c>
      <c r="CW2" s="2" t="s">
        <v>79</v>
      </c>
      <c r="CX2" s="2" t="s">
        <v>82</v>
      </c>
      <c r="CY2" s="2" t="s">
        <v>83</v>
      </c>
      <c r="CZ2" s="2" t="s">
        <v>84</v>
      </c>
      <c r="DA2" s="2" t="s">
        <v>85</v>
      </c>
      <c r="DB2" s="2" t="s">
        <v>82</v>
      </c>
      <c r="DC2" s="2" t="s">
        <v>83</v>
      </c>
      <c r="DD2" s="2" t="s">
        <v>84</v>
      </c>
      <c r="DE2" s="2" t="s">
        <v>85</v>
      </c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</row>
    <row r="3" spans="1:121" ht="17.25" thickBot="1">
      <c r="A3" s="88" t="s">
        <v>93</v>
      </c>
      <c r="B3" s="92" t="s">
        <v>87</v>
      </c>
      <c r="C3" s="69" t="s">
        <v>153</v>
      </c>
      <c r="D3" s="69" t="s">
        <v>185</v>
      </c>
      <c r="E3" s="2" t="s">
        <v>89</v>
      </c>
      <c r="F3" s="2">
        <v>5</v>
      </c>
      <c r="G3" s="2"/>
      <c r="H3" s="2"/>
      <c r="I3" s="2"/>
      <c r="J3" s="2"/>
      <c r="K3" s="2"/>
      <c r="L3" s="2">
        <v>5</v>
      </c>
      <c r="M3" s="2"/>
      <c r="N3" s="2"/>
      <c r="O3" s="2"/>
      <c r="P3" s="2"/>
      <c r="Q3" s="2"/>
      <c r="R3" s="2">
        <v>6</v>
      </c>
      <c r="S3" s="2"/>
      <c r="T3" s="2"/>
      <c r="U3" s="2"/>
      <c r="V3" s="2"/>
      <c r="W3" s="2"/>
      <c r="X3" s="2">
        <v>10</v>
      </c>
      <c r="Y3" s="2"/>
      <c r="Z3" s="2"/>
      <c r="AA3" s="2"/>
      <c r="AB3" s="2"/>
      <c r="AC3" s="2"/>
      <c r="AD3" s="79">
        <v>8</v>
      </c>
      <c r="AE3" s="2"/>
      <c r="AF3" s="2"/>
      <c r="AG3" s="2"/>
      <c r="AH3" s="2"/>
      <c r="AI3" s="2"/>
      <c r="AJ3" s="2">
        <v>8</v>
      </c>
      <c r="AK3" s="2"/>
      <c r="AL3" s="2"/>
      <c r="AM3" s="2"/>
      <c r="AN3" s="2"/>
      <c r="AO3" s="2"/>
      <c r="AP3" s="2">
        <v>4</v>
      </c>
      <c r="AQ3" s="2"/>
      <c r="AR3" s="2"/>
      <c r="AS3" s="2"/>
      <c r="AT3" s="2"/>
      <c r="AU3" s="2"/>
      <c r="AV3" s="2">
        <v>5</v>
      </c>
      <c r="AW3" s="2"/>
      <c r="AX3" s="2"/>
      <c r="AY3" s="2"/>
      <c r="AZ3" s="2"/>
      <c r="BA3" s="2"/>
      <c r="BB3" s="2">
        <v>9</v>
      </c>
      <c r="BC3" s="2"/>
      <c r="BD3" s="2"/>
      <c r="BE3" s="2"/>
      <c r="BF3" s="2"/>
      <c r="BG3" s="2"/>
      <c r="BH3" s="2">
        <v>6</v>
      </c>
      <c r="BI3" s="2"/>
      <c r="BJ3" s="2"/>
      <c r="BK3" s="2"/>
      <c r="BL3" s="2"/>
      <c r="BM3" s="2"/>
      <c r="BN3" s="2">
        <v>20</v>
      </c>
      <c r="BO3" s="2"/>
      <c r="BP3" s="2"/>
      <c r="BQ3" s="2"/>
      <c r="BR3" s="2"/>
      <c r="BS3" s="2"/>
      <c r="BT3" s="2">
        <v>23</v>
      </c>
      <c r="BU3" s="2"/>
      <c r="BV3" s="2"/>
      <c r="BW3" s="2"/>
      <c r="BX3" s="2"/>
      <c r="BY3" s="2"/>
      <c r="BZ3" s="2">
        <v>19</v>
      </c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>
        <v>23</v>
      </c>
      <c r="CM3" s="2"/>
      <c r="CN3" s="2"/>
      <c r="CO3" s="2"/>
      <c r="CP3" s="2"/>
      <c r="CQ3" s="2"/>
      <c r="CR3" s="2">
        <v>32</v>
      </c>
      <c r="CS3" s="2"/>
      <c r="CT3" s="2"/>
      <c r="CU3" s="2"/>
      <c r="CV3" s="2"/>
      <c r="CW3" s="2"/>
      <c r="CX3" s="2">
        <v>60</v>
      </c>
      <c r="CY3" s="2"/>
      <c r="CZ3" s="2"/>
      <c r="DA3" s="2"/>
      <c r="DB3" s="2">
        <v>60</v>
      </c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</row>
    <row r="4" spans="1:121" ht="17.25" thickBot="1">
      <c r="A4" s="89" t="s">
        <v>94</v>
      </c>
      <c r="B4" s="93" t="s">
        <v>87</v>
      </c>
      <c r="C4" s="70" t="s">
        <v>88</v>
      </c>
      <c r="D4" s="69" t="s">
        <v>185</v>
      </c>
      <c r="E4" s="2" t="s">
        <v>89</v>
      </c>
      <c r="F4" s="2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>
        <v>4</v>
      </c>
      <c r="AQ4" s="2"/>
      <c r="AR4" s="2"/>
      <c r="AS4" s="2"/>
      <c r="AT4" s="2"/>
      <c r="AU4" s="2"/>
      <c r="AV4" s="2">
        <v>4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>
        <v>60</v>
      </c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</row>
    <row r="5" spans="1:121" ht="17.25" thickBot="1">
      <c r="A5" s="89" t="s">
        <v>95</v>
      </c>
      <c r="B5" s="93" t="s">
        <v>87</v>
      </c>
      <c r="C5" s="69" t="s">
        <v>88</v>
      </c>
      <c r="D5" s="69" t="s">
        <v>185</v>
      </c>
      <c r="E5" s="2" t="s">
        <v>89</v>
      </c>
      <c r="F5" s="2">
        <v>3</v>
      </c>
      <c r="G5" s="2"/>
      <c r="H5" s="2"/>
      <c r="I5" s="2"/>
      <c r="J5" s="2"/>
      <c r="K5" s="2"/>
      <c r="L5" s="2">
        <v>5</v>
      </c>
      <c r="M5" s="2"/>
      <c r="N5" s="2"/>
      <c r="O5" s="2"/>
      <c r="P5" s="2"/>
      <c r="Q5" s="2"/>
      <c r="R5" s="2">
        <v>7</v>
      </c>
      <c r="S5" s="2"/>
      <c r="T5" s="2"/>
      <c r="U5" s="2"/>
      <c r="V5" s="2"/>
      <c r="W5" s="2"/>
      <c r="X5" s="2">
        <v>4</v>
      </c>
      <c r="Y5" s="2"/>
      <c r="Z5" s="2"/>
      <c r="AA5" s="2"/>
      <c r="AB5" s="2"/>
      <c r="AC5" s="2"/>
      <c r="AD5" s="2">
        <v>10</v>
      </c>
      <c r="AE5" s="2"/>
      <c r="AF5" s="2"/>
      <c r="AG5" s="2"/>
      <c r="AH5" s="2"/>
      <c r="AI5" s="2"/>
      <c r="AJ5" s="2">
        <v>12</v>
      </c>
      <c r="AK5" s="2"/>
      <c r="AL5" s="2"/>
      <c r="AM5" s="2"/>
      <c r="AN5" s="2"/>
      <c r="AO5" s="2"/>
      <c r="AP5" s="2">
        <v>5</v>
      </c>
      <c r="AQ5" s="2"/>
      <c r="AR5" s="2"/>
      <c r="AS5" s="2"/>
      <c r="AT5" s="2"/>
      <c r="AU5" s="2"/>
      <c r="AV5" s="2">
        <v>13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>
        <v>13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>
        <v>16</v>
      </c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>
        <v>22</v>
      </c>
      <c r="CM5" s="2"/>
      <c r="CN5" s="2"/>
      <c r="CO5" s="2"/>
      <c r="CP5" s="2"/>
      <c r="CQ5" s="2"/>
      <c r="CR5" s="2">
        <v>15</v>
      </c>
      <c r="CS5" s="2"/>
      <c r="CT5" s="2"/>
      <c r="CU5" s="2"/>
      <c r="CV5" s="2"/>
      <c r="CW5" s="2"/>
      <c r="CX5" s="2">
        <v>60</v>
      </c>
      <c r="CY5" s="2"/>
      <c r="CZ5" s="2"/>
      <c r="DA5" s="2"/>
      <c r="DB5" s="2">
        <v>60</v>
      </c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</row>
    <row r="6" spans="1:121" ht="17.25" thickBot="1">
      <c r="A6" s="90" t="s">
        <v>96</v>
      </c>
      <c r="B6" s="93" t="s">
        <v>87</v>
      </c>
      <c r="C6" s="70" t="s">
        <v>154</v>
      </c>
      <c r="D6" s="69" t="s">
        <v>185</v>
      </c>
      <c r="E6" s="2" t="s">
        <v>89</v>
      </c>
      <c r="F6" s="2">
        <v>3</v>
      </c>
      <c r="G6" s="2"/>
      <c r="H6" s="2"/>
      <c r="I6" s="2"/>
      <c r="J6" s="2"/>
      <c r="K6" s="2"/>
      <c r="L6" s="2">
        <v>4</v>
      </c>
      <c r="M6" s="2"/>
      <c r="N6" s="2"/>
      <c r="O6" s="2"/>
      <c r="P6" s="2"/>
      <c r="Q6" s="2"/>
      <c r="R6" s="2">
        <v>6</v>
      </c>
      <c r="S6" s="2"/>
      <c r="T6" s="2"/>
      <c r="U6" s="2"/>
      <c r="V6" s="2"/>
      <c r="W6" s="2"/>
      <c r="X6" s="2">
        <v>13</v>
      </c>
      <c r="Y6" s="2"/>
      <c r="Z6" s="2"/>
      <c r="AA6" s="2"/>
      <c r="AB6" s="2"/>
      <c r="AC6" s="2"/>
      <c r="AD6" s="2">
        <v>13</v>
      </c>
      <c r="AE6" s="2"/>
      <c r="AF6" s="2"/>
      <c r="AG6" s="2"/>
      <c r="AH6" s="2"/>
      <c r="AI6" s="2"/>
      <c r="AJ6" s="2">
        <v>12</v>
      </c>
      <c r="AK6" s="2"/>
      <c r="AL6" s="2"/>
      <c r="AM6" s="2"/>
      <c r="AN6" s="2"/>
      <c r="AO6" s="2"/>
      <c r="AP6" s="2">
        <v>12</v>
      </c>
      <c r="AQ6" s="2"/>
      <c r="AR6" s="2"/>
      <c r="AS6" s="2"/>
      <c r="AT6" s="2"/>
      <c r="AU6" s="2"/>
      <c r="AV6" s="2">
        <v>14</v>
      </c>
      <c r="AW6" s="2"/>
      <c r="AX6" s="2"/>
      <c r="AY6" s="2"/>
      <c r="AZ6" s="2"/>
      <c r="BA6" s="2"/>
      <c r="BB6" s="2">
        <v>13</v>
      </c>
      <c r="BC6" s="2"/>
      <c r="BD6" s="2"/>
      <c r="BE6" s="2"/>
      <c r="BF6" s="2"/>
      <c r="BG6" s="2"/>
      <c r="BH6" s="2">
        <v>7</v>
      </c>
      <c r="BI6" s="2"/>
      <c r="BJ6" s="2"/>
      <c r="BK6" s="2"/>
      <c r="BL6" s="2"/>
      <c r="BM6" s="2"/>
      <c r="BN6" s="2">
        <v>32</v>
      </c>
      <c r="BO6" s="2"/>
      <c r="BP6" s="2"/>
      <c r="BQ6" s="2"/>
      <c r="BR6" s="2"/>
      <c r="BS6" s="2"/>
      <c r="BT6" s="2">
        <v>36</v>
      </c>
      <c r="BU6" s="2"/>
      <c r="BV6" s="2"/>
      <c r="BW6" s="2"/>
      <c r="BX6" s="2"/>
      <c r="BY6" s="2"/>
      <c r="BZ6" s="2">
        <v>30</v>
      </c>
      <c r="CA6" s="2"/>
      <c r="CB6" s="2"/>
      <c r="CC6" s="2"/>
      <c r="CD6" s="2"/>
      <c r="CE6" s="2"/>
      <c r="CF6" s="2">
        <v>24</v>
      </c>
      <c r="CG6" s="2"/>
      <c r="CH6" s="2"/>
      <c r="CI6" s="2"/>
      <c r="CJ6" s="2"/>
      <c r="CK6" s="2"/>
      <c r="CL6" s="2">
        <v>25</v>
      </c>
      <c r="CM6" s="2"/>
      <c r="CN6" s="2"/>
      <c r="CO6" s="2"/>
      <c r="CP6" s="2"/>
      <c r="CQ6" s="2"/>
      <c r="CR6" s="2">
        <v>29</v>
      </c>
      <c r="CS6" s="2"/>
      <c r="CT6" s="2"/>
      <c r="CU6" s="2"/>
      <c r="CV6" s="2"/>
      <c r="CW6" s="2"/>
      <c r="CX6" s="2">
        <v>60</v>
      </c>
      <c r="CY6" s="2"/>
      <c r="CZ6" s="2"/>
      <c r="DA6" s="2"/>
      <c r="DB6" s="2">
        <v>60</v>
      </c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</row>
    <row r="7" spans="1:121" ht="17.25" thickBot="1">
      <c r="A7" s="91" t="s">
        <v>97</v>
      </c>
      <c r="B7" s="93" t="s">
        <v>87</v>
      </c>
      <c r="C7" s="94" t="s">
        <v>155</v>
      </c>
      <c r="D7" s="69" t="s">
        <v>185</v>
      </c>
      <c r="E7" s="2" t="s">
        <v>89</v>
      </c>
      <c r="F7" s="2">
        <v>3</v>
      </c>
      <c r="G7" s="2"/>
      <c r="H7" s="2"/>
      <c r="I7" s="2"/>
      <c r="J7" s="2"/>
      <c r="K7" s="2"/>
      <c r="L7" s="2">
        <v>8</v>
      </c>
      <c r="M7" s="2"/>
      <c r="N7" s="2"/>
      <c r="O7" s="2"/>
      <c r="P7" s="2"/>
      <c r="Q7" s="2"/>
      <c r="R7" s="2">
        <v>8</v>
      </c>
      <c r="S7" s="2"/>
      <c r="T7" s="2"/>
      <c r="U7" s="2"/>
      <c r="V7" s="2"/>
      <c r="W7" s="2"/>
      <c r="X7" s="2">
        <v>19</v>
      </c>
      <c r="Y7" s="2"/>
      <c r="Z7" s="2"/>
      <c r="AA7" s="2"/>
      <c r="AB7" s="2"/>
      <c r="AC7" s="2"/>
      <c r="AD7" s="2">
        <v>13</v>
      </c>
      <c r="AE7" s="2"/>
      <c r="AF7" s="2"/>
      <c r="AG7" s="2"/>
      <c r="AH7" s="2"/>
      <c r="AI7" s="2"/>
      <c r="AJ7" s="2">
        <v>17</v>
      </c>
      <c r="AK7" s="2"/>
      <c r="AL7" s="2"/>
      <c r="AM7" s="2"/>
      <c r="AN7" s="2"/>
      <c r="AO7" s="2"/>
      <c r="AP7" s="2">
        <v>11</v>
      </c>
      <c r="AQ7" s="2"/>
      <c r="AR7" s="2"/>
      <c r="AS7" s="2"/>
      <c r="AT7" s="2"/>
      <c r="AU7" s="2"/>
      <c r="AV7" s="2">
        <v>8</v>
      </c>
      <c r="AW7" s="2"/>
      <c r="AX7" s="2"/>
      <c r="AY7" s="2"/>
      <c r="AZ7" s="2"/>
      <c r="BA7" s="2"/>
      <c r="BB7" s="2">
        <v>16</v>
      </c>
      <c r="BC7" s="2"/>
      <c r="BD7" s="2"/>
      <c r="BE7" s="2"/>
      <c r="BF7" s="2"/>
      <c r="BG7" s="2"/>
      <c r="BH7" s="2">
        <v>17</v>
      </c>
      <c r="BI7" s="2"/>
      <c r="BJ7" s="2"/>
      <c r="BK7" s="2"/>
      <c r="BL7" s="2"/>
      <c r="BM7" s="2"/>
      <c r="BN7" s="2">
        <v>36</v>
      </c>
      <c r="BO7" s="2"/>
      <c r="BP7" s="2"/>
      <c r="BQ7" s="2"/>
      <c r="BR7" s="2"/>
      <c r="BS7" s="2"/>
      <c r="BT7" s="2">
        <v>36</v>
      </c>
      <c r="BU7" s="2"/>
      <c r="BV7" s="2"/>
      <c r="BW7" s="2"/>
      <c r="BX7" s="2"/>
      <c r="BY7" s="2"/>
      <c r="BZ7" s="2">
        <v>40</v>
      </c>
      <c r="CA7" s="2"/>
      <c r="CB7" s="2"/>
      <c r="CC7" s="2"/>
      <c r="CD7" s="2"/>
      <c r="CE7" s="2"/>
      <c r="CF7" s="2">
        <v>30</v>
      </c>
      <c r="CG7" s="2"/>
      <c r="CH7" s="2"/>
      <c r="CI7" s="2"/>
      <c r="CJ7" s="2"/>
      <c r="CK7" s="2"/>
      <c r="CL7" s="2">
        <v>40</v>
      </c>
      <c r="CM7" s="2"/>
      <c r="CN7" s="2"/>
      <c r="CO7" s="2"/>
      <c r="CP7" s="2"/>
      <c r="CQ7" s="2"/>
      <c r="CR7" s="2">
        <v>41</v>
      </c>
      <c r="CS7" s="2"/>
      <c r="CT7" s="2"/>
      <c r="CU7" s="2"/>
      <c r="CV7" s="2"/>
      <c r="CW7" s="2"/>
      <c r="CX7" s="2">
        <v>60</v>
      </c>
      <c r="CY7" s="2"/>
      <c r="CZ7" s="2"/>
      <c r="DA7" s="2"/>
      <c r="DB7" s="2">
        <v>60</v>
      </c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</row>
    <row r="8" spans="1:121" ht="17.25" thickBot="1">
      <c r="A8" s="91" t="s">
        <v>98</v>
      </c>
      <c r="B8" s="93" t="s">
        <v>87</v>
      </c>
      <c r="C8" s="2"/>
      <c r="D8" s="69" t="s">
        <v>185</v>
      </c>
      <c r="E8" s="2" t="s">
        <v>89</v>
      </c>
      <c r="F8" s="2">
        <v>6</v>
      </c>
      <c r="G8" s="2"/>
      <c r="H8" s="2"/>
      <c r="I8" s="2"/>
      <c r="J8" s="2"/>
      <c r="K8" s="2"/>
      <c r="L8" s="2">
        <v>5</v>
      </c>
      <c r="M8" s="2"/>
      <c r="N8" s="2"/>
      <c r="O8" s="2"/>
      <c r="P8" s="2"/>
      <c r="Q8" s="2"/>
      <c r="R8" s="2">
        <v>7</v>
      </c>
      <c r="S8" s="2"/>
      <c r="T8" s="2"/>
      <c r="U8" s="2"/>
      <c r="V8" s="2"/>
      <c r="W8" s="2"/>
      <c r="X8" s="2">
        <v>4</v>
      </c>
      <c r="Y8" s="2"/>
      <c r="Z8" s="2"/>
      <c r="AA8" s="2"/>
      <c r="AB8" s="2"/>
      <c r="AC8" s="2"/>
      <c r="AD8" s="2">
        <v>8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>
        <v>4</v>
      </c>
      <c r="AQ8" s="2"/>
      <c r="AR8" s="2"/>
      <c r="AS8" s="2"/>
      <c r="AT8" s="2"/>
      <c r="AU8" s="2"/>
      <c r="AV8" s="2">
        <v>9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>
        <v>24</v>
      </c>
      <c r="CG8" s="2"/>
      <c r="CH8" s="2"/>
      <c r="CI8" s="2"/>
      <c r="CJ8" s="2"/>
      <c r="CK8" s="2"/>
      <c r="CL8" s="2">
        <v>25</v>
      </c>
      <c r="CM8" s="2"/>
      <c r="CN8" s="2"/>
      <c r="CO8" s="2"/>
      <c r="CP8" s="2"/>
      <c r="CQ8" s="2"/>
      <c r="CR8" s="2">
        <v>25</v>
      </c>
      <c r="CS8" s="2"/>
      <c r="CT8" s="2"/>
      <c r="CU8" s="2"/>
      <c r="CV8" s="2"/>
      <c r="CW8" s="2"/>
      <c r="CX8" s="2">
        <v>60</v>
      </c>
      <c r="CY8" s="2"/>
      <c r="CZ8" s="2"/>
      <c r="DA8" s="2"/>
      <c r="DB8" s="2">
        <v>60</v>
      </c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</row>
    <row r="9" spans="1:121" ht="17.25" thickBot="1">
      <c r="A9" s="89" t="s">
        <v>99</v>
      </c>
      <c r="B9" s="93" t="s">
        <v>87</v>
      </c>
      <c r="C9" s="184" t="s">
        <v>215</v>
      </c>
      <c r="D9" s="69" t="s">
        <v>185</v>
      </c>
      <c r="E9" s="2" t="s">
        <v>89</v>
      </c>
      <c r="F9" s="2">
        <v>5</v>
      </c>
      <c r="G9" s="2"/>
      <c r="H9" s="2"/>
      <c r="I9" s="2"/>
      <c r="J9" s="2"/>
      <c r="K9" s="2"/>
      <c r="L9" s="2">
        <v>3</v>
      </c>
      <c r="M9" s="2"/>
      <c r="N9" s="2"/>
      <c r="O9" s="2"/>
      <c r="P9" s="2"/>
      <c r="Q9" s="2"/>
      <c r="R9" s="2">
        <v>7</v>
      </c>
      <c r="S9" s="2"/>
      <c r="T9" s="2"/>
      <c r="U9" s="2"/>
      <c r="V9" s="2"/>
      <c r="W9" s="2"/>
      <c r="X9" s="2">
        <v>6</v>
      </c>
      <c r="Y9" s="2"/>
      <c r="Z9" s="2"/>
      <c r="AA9" s="2"/>
      <c r="AB9" s="2"/>
      <c r="AC9" s="2"/>
      <c r="AD9" s="2">
        <v>8</v>
      </c>
      <c r="AE9" s="2"/>
      <c r="AF9" s="2"/>
      <c r="AG9" s="2"/>
      <c r="AH9" s="2"/>
      <c r="AI9" s="2"/>
      <c r="AJ9" s="2">
        <v>10</v>
      </c>
      <c r="AK9" s="2"/>
      <c r="AL9" s="2"/>
      <c r="AM9" s="2"/>
      <c r="AN9" s="2"/>
      <c r="AO9" s="2"/>
      <c r="AP9" s="2">
        <v>6</v>
      </c>
      <c r="AQ9" s="2"/>
      <c r="AR9" s="2"/>
      <c r="AS9" s="2"/>
      <c r="AT9" s="2"/>
      <c r="AU9" s="2"/>
      <c r="AV9" s="2">
        <v>13</v>
      </c>
      <c r="AW9" s="2"/>
      <c r="AX9" s="2"/>
      <c r="AY9" s="2"/>
      <c r="AZ9" s="2"/>
      <c r="BA9" s="2"/>
      <c r="BB9" s="2">
        <v>10</v>
      </c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>
        <v>7</v>
      </c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>
        <v>23</v>
      </c>
      <c r="CA9" s="2"/>
      <c r="CB9" s="2"/>
      <c r="CC9" s="2"/>
      <c r="CD9" s="2"/>
      <c r="CE9" s="2"/>
      <c r="CF9" s="2">
        <v>20</v>
      </c>
      <c r="CG9" s="2"/>
      <c r="CH9" s="2"/>
      <c r="CI9" s="2"/>
      <c r="CJ9" s="2"/>
      <c r="CK9" s="2"/>
      <c r="CL9" s="2">
        <v>23</v>
      </c>
      <c r="CM9" s="2"/>
      <c r="CN9" s="2"/>
      <c r="CO9" s="2"/>
      <c r="CP9" s="2"/>
      <c r="CQ9" s="2"/>
      <c r="CR9" s="2">
        <v>26</v>
      </c>
      <c r="CS9" s="2"/>
      <c r="CT9" s="2"/>
      <c r="CU9" s="2"/>
      <c r="CV9" s="2"/>
      <c r="CW9" s="2"/>
      <c r="CX9" s="2">
        <v>60</v>
      </c>
      <c r="CY9" s="2"/>
      <c r="CZ9" s="2"/>
      <c r="DA9" s="2"/>
      <c r="DB9" s="2">
        <v>60</v>
      </c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</row>
    <row r="10" spans="1:121" ht="17.25" thickBot="1">
      <c r="A10" s="89" t="s">
        <v>100</v>
      </c>
      <c r="B10" s="93" t="s">
        <v>87</v>
      </c>
      <c r="C10" s="184" t="s">
        <v>156</v>
      </c>
      <c r="D10" s="69" t="s">
        <v>185</v>
      </c>
      <c r="E10" s="2" t="s">
        <v>89</v>
      </c>
      <c r="F10" s="2">
        <v>3</v>
      </c>
      <c r="G10" s="2"/>
      <c r="H10" s="2"/>
      <c r="I10" s="2"/>
      <c r="J10" s="2"/>
      <c r="K10" s="2"/>
      <c r="L10" s="2">
        <v>4</v>
      </c>
      <c r="M10" s="2"/>
      <c r="N10" s="2"/>
      <c r="O10" s="2"/>
      <c r="P10" s="2"/>
      <c r="Q10" s="2"/>
      <c r="R10" s="2">
        <v>7</v>
      </c>
      <c r="S10" s="2"/>
      <c r="T10" s="2"/>
      <c r="U10" s="2"/>
      <c r="V10" s="2"/>
      <c r="W10" s="2"/>
      <c r="X10" s="2">
        <v>13</v>
      </c>
      <c r="Y10" s="2"/>
      <c r="Z10" s="2"/>
      <c r="AA10" s="2"/>
      <c r="AB10" s="2"/>
      <c r="AC10" s="2"/>
      <c r="AD10" s="2">
        <v>8</v>
      </c>
      <c r="AE10" s="2"/>
      <c r="AF10" s="2"/>
      <c r="AG10" s="2"/>
      <c r="AH10" s="2"/>
      <c r="AI10" s="2"/>
      <c r="AJ10" s="2">
        <v>10</v>
      </c>
      <c r="AK10" s="2"/>
      <c r="AL10" s="2"/>
      <c r="AM10" s="2"/>
      <c r="AN10" s="2"/>
      <c r="AO10" s="2"/>
      <c r="AP10" s="2">
        <v>7</v>
      </c>
      <c r="AQ10" s="2"/>
      <c r="AR10" s="2"/>
      <c r="AS10" s="2"/>
      <c r="AT10" s="2"/>
      <c r="AU10" s="2"/>
      <c r="AV10" s="2">
        <v>13</v>
      </c>
      <c r="AW10" s="2"/>
      <c r="AX10" s="2"/>
      <c r="AY10" s="2"/>
      <c r="AZ10" s="2"/>
      <c r="BA10" s="2"/>
      <c r="BB10" s="2">
        <v>10</v>
      </c>
      <c r="BC10" s="2"/>
      <c r="BD10" s="2"/>
      <c r="BE10" s="2"/>
      <c r="BF10" s="2"/>
      <c r="BG10" s="2"/>
      <c r="BH10" s="2">
        <v>7</v>
      </c>
      <c r="BI10" s="2"/>
      <c r="BJ10" s="2"/>
      <c r="BK10" s="2"/>
      <c r="BL10" s="2"/>
      <c r="BM10" s="2"/>
      <c r="BN10" s="2">
        <v>26</v>
      </c>
      <c r="BO10" s="2"/>
      <c r="BP10" s="2"/>
      <c r="BQ10" s="2"/>
      <c r="BR10" s="2"/>
      <c r="BS10" s="2"/>
      <c r="BT10" s="2">
        <v>20</v>
      </c>
      <c r="BU10" s="2"/>
      <c r="BV10" s="2"/>
      <c r="BW10" s="2"/>
      <c r="BX10" s="2"/>
      <c r="BY10" s="2"/>
      <c r="BZ10" s="2">
        <v>22</v>
      </c>
      <c r="CA10" s="2"/>
      <c r="CB10" s="2"/>
      <c r="CC10" s="2"/>
      <c r="CD10" s="2"/>
      <c r="CE10" s="2"/>
      <c r="CF10" s="2">
        <v>24</v>
      </c>
      <c r="CG10" s="2"/>
      <c r="CH10" s="2"/>
      <c r="CI10" s="2"/>
      <c r="CJ10" s="2"/>
      <c r="CK10" s="2"/>
      <c r="CL10" s="2">
        <v>25</v>
      </c>
      <c r="CM10" s="2"/>
      <c r="CN10" s="2"/>
      <c r="CO10" s="2"/>
      <c r="CP10" s="2"/>
      <c r="CQ10" s="2"/>
      <c r="CR10" s="2">
        <v>28</v>
      </c>
      <c r="CS10" s="2"/>
      <c r="CT10" s="2"/>
      <c r="CU10" s="2"/>
      <c r="CV10" s="2"/>
      <c r="CW10" s="2"/>
      <c r="CX10" s="2">
        <v>60</v>
      </c>
      <c r="CY10" s="2"/>
      <c r="CZ10" s="2"/>
      <c r="DA10" s="2"/>
      <c r="DB10" s="2">
        <v>60</v>
      </c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</row>
    <row r="11" spans="1:121" ht="17.25" thickBot="1">
      <c r="A11" s="91" t="s">
        <v>101</v>
      </c>
      <c r="B11" s="93" t="s">
        <v>87</v>
      </c>
      <c r="C11" s="184" t="s">
        <v>157</v>
      </c>
      <c r="D11" s="69" t="s">
        <v>185</v>
      </c>
      <c r="E11" s="2" t="s">
        <v>89</v>
      </c>
      <c r="F11" s="2">
        <v>5</v>
      </c>
      <c r="G11" s="2"/>
      <c r="H11" s="2"/>
      <c r="I11" s="2"/>
      <c r="J11" s="2"/>
      <c r="K11" s="2"/>
      <c r="L11" s="2">
        <v>5</v>
      </c>
      <c r="M11" s="2"/>
      <c r="N11" s="2"/>
      <c r="O11" s="2"/>
      <c r="P11" s="2"/>
      <c r="Q11" s="2"/>
      <c r="R11" s="2">
        <v>6</v>
      </c>
      <c r="S11" s="2"/>
      <c r="T11" s="2"/>
      <c r="U11" s="2"/>
      <c r="V11" s="2"/>
      <c r="W11" s="2"/>
      <c r="X11" s="2">
        <v>19</v>
      </c>
      <c r="Y11" s="2"/>
      <c r="Z11" s="2"/>
      <c r="AA11" s="2"/>
      <c r="AB11" s="2"/>
      <c r="AC11" s="2"/>
      <c r="AD11" s="2">
        <v>9</v>
      </c>
      <c r="AE11" s="2"/>
      <c r="AF11" s="2"/>
      <c r="AG11" s="2"/>
      <c r="AH11" s="2"/>
      <c r="AI11" s="2"/>
      <c r="AJ11" s="2">
        <v>18</v>
      </c>
      <c r="AK11" s="2"/>
      <c r="AL11" s="2"/>
      <c r="AM11" s="2"/>
      <c r="AN11" s="2"/>
      <c r="AO11" s="2"/>
      <c r="AP11" s="2">
        <v>11</v>
      </c>
      <c r="AQ11" s="2"/>
      <c r="AR11" s="2"/>
      <c r="AS11" s="2"/>
      <c r="AT11" s="2"/>
      <c r="AU11" s="2"/>
      <c r="AV11" s="2">
        <v>10</v>
      </c>
      <c r="AW11" s="2"/>
      <c r="AX11" s="2"/>
      <c r="AY11" s="2"/>
      <c r="AZ11" s="2"/>
      <c r="BA11" s="2"/>
      <c r="BB11" s="2">
        <v>12</v>
      </c>
      <c r="BC11" s="2"/>
      <c r="BD11" s="2"/>
      <c r="BE11" s="2"/>
      <c r="BF11" s="2"/>
      <c r="BG11" s="2"/>
      <c r="BH11" s="2">
        <v>9</v>
      </c>
      <c r="BI11" s="2"/>
      <c r="BJ11" s="2"/>
      <c r="BK11" s="2"/>
      <c r="BL11" s="2"/>
      <c r="BM11" s="2"/>
      <c r="BN11" s="2">
        <v>27</v>
      </c>
      <c r="BO11" s="2"/>
      <c r="BP11" s="2"/>
      <c r="BQ11" s="2"/>
      <c r="BR11" s="2"/>
      <c r="BS11" s="2"/>
      <c r="BT11" s="2">
        <v>28</v>
      </c>
      <c r="BU11" s="2"/>
      <c r="BV11" s="2"/>
      <c r="BW11" s="2"/>
      <c r="BX11" s="2"/>
      <c r="BY11" s="2"/>
      <c r="BZ11" s="2">
        <v>24</v>
      </c>
      <c r="CA11" s="2"/>
      <c r="CB11" s="2"/>
      <c r="CC11" s="2"/>
      <c r="CD11" s="2"/>
      <c r="CE11" s="2"/>
      <c r="CF11" s="2">
        <v>26</v>
      </c>
      <c r="CG11" s="2"/>
      <c r="CH11" s="2"/>
      <c r="CI11" s="2"/>
      <c r="CJ11" s="2"/>
      <c r="CK11" s="2"/>
      <c r="CL11" s="2">
        <v>30</v>
      </c>
      <c r="CM11" s="2"/>
      <c r="CN11" s="2"/>
      <c r="CO11" s="2"/>
      <c r="CP11" s="2"/>
      <c r="CQ11" s="2"/>
      <c r="CR11" s="2">
        <v>35</v>
      </c>
      <c r="CS11" s="2"/>
      <c r="CT11" s="2"/>
      <c r="CU11" s="2"/>
      <c r="CV11" s="2"/>
      <c r="CW11" s="2"/>
      <c r="CX11" s="2">
        <v>60</v>
      </c>
      <c r="CY11" s="2"/>
      <c r="CZ11" s="2"/>
      <c r="DA11" s="2"/>
      <c r="DB11" s="2">
        <v>60</v>
      </c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</row>
    <row r="12" spans="1:121" ht="17.25" thickBot="1">
      <c r="A12" s="91" t="s">
        <v>102</v>
      </c>
      <c r="B12" s="93" t="s">
        <v>87</v>
      </c>
      <c r="C12" s="184" t="s">
        <v>158</v>
      </c>
      <c r="D12" s="69" t="s">
        <v>185</v>
      </c>
      <c r="E12" s="2" t="s">
        <v>89</v>
      </c>
      <c r="F12" s="2">
        <v>6</v>
      </c>
      <c r="G12" s="2"/>
      <c r="H12" s="2"/>
      <c r="I12" s="2"/>
      <c r="J12" s="2"/>
      <c r="K12" s="2"/>
      <c r="L12" s="2">
        <v>3</v>
      </c>
      <c r="M12" s="2"/>
      <c r="N12" s="2"/>
      <c r="O12" s="2"/>
      <c r="P12" s="2"/>
      <c r="Q12" s="2"/>
      <c r="R12" s="2">
        <v>7</v>
      </c>
      <c r="S12" s="2"/>
      <c r="T12" s="2"/>
      <c r="U12" s="2"/>
      <c r="V12" s="2"/>
      <c r="W12" s="2"/>
      <c r="X12" s="2">
        <v>8</v>
      </c>
      <c r="Y12" s="2"/>
      <c r="Z12" s="2"/>
      <c r="AA12" s="2"/>
      <c r="AB12" s="2"/>
      <c r="AC12" s="2"/>
      <c r="AD12" s="2">
        <v>9</v>
      </c>
      <c r="AE12" s="2"/>
      <c r="AF12" s="2"/>
      <c r="AG12" s="2"/>
      <c r="AH12" s="2"/>
      <c r="AI12" s="2"/>
      <c r="AJ12" s="2">
        <v>10</v>
      </c>
      <c r="AK12" s="2"/>
      <c r="AL12" s="2"/>
      <c r="AM12" s="2"/>
      <c r="AN12" s="2"/>
      <c r="AO12" s="2"/>
      <c r="AP12" s="2">
        <v>10</v>
      </c>
      <c r="AQ12" s="2"/>
      <c r="AR12" s="2"/>
      <c r="AS12" s="2"/>
      <c r="AT12" s="2"/>
      <c r="AU12" s="2"/>
      <c r="AV12" s="2">
        <v>13</v>
      </c>
      <c r="AW12" s="2"/>
      <c r="AX12" s="2"/>
      <c r="AY12" s="2"/>
      <c r="AZ12" s="2"/>
      <c r="BA12" s="2"/>
      <c r="BB12" s="2">
        <v>11</v>
      </c>
      <c r="BC12" s="2"/>
      <c r="BD12" s="2"/>
      <c r="BE12" s="2"/>
      <c r="BF12" s="2"/>
      <c r="BG12" s="2"/>
      <c r="BH12" s="2">
        <v>19</v>
      </c>
      <c r="BI12" s="2"/>
      <c r="BJ12" s="2"/>
      <c r="BK12" s="2"/>
      <c r="BL12" s="2"/>
      <c r="BM12" s="2"/>
      <c r="BN12" s="2">
        <v>20</v>
      </c>
      <c r="BO12" s="2"/>
      <c r="BP12" s="2"/>
      <c r="BQ12" s="2"/>
      <c r="BR12" s="2"/>
      <c r="BS12" s="2"/>
      <c r="BT12" s="2">
        <v>18</v>
      </c>
      <c r="BU12" s="2"/>
      <c r="BV12" s="2"/>
      <c r="BW12" s="2"/>
      <c r="BX12" s="2"/>
      <c r="BY12" s="2"/>
      <c r="BZ12" s="2">
        <v>22</v>
      </c>
      <c r="CA12" s="2"/>
      <c r="CB12" s="2"/>
      <c r="CC12" s="2"/>
      <c r="CD12" s="2"/>
      <c r="CE12" s="2"/>
      <c r="CF12" s="2">
        <v>22</v>
      </c>
      <c r="CG12" s="2"/>
      <c r="CH12" s="2"/>
      <c r="CI12" s="2"/>
      <c r="CJ12" s="2"/>
      <c r="CK12" s="2"/>
      <c r="CL12" s="2">
        <v>21</v>
      </c>
      <c r="CM12" s="2"/>
      <c r="CN12" s="2"/>
      <c r="CO12" s="2"/>
      <c r="CP12" s="2"/>
      <c r="CQ12" s="2"/>
      <c r="CR12" s="2">
        <v>32</v>
      </c>
      <c r="CS12" s="2"/>
      <c r="CT12" s="2"/>
      <c r="CU12" s="2"/>
      <c r="CV12" s="2"/>
      <c r="CW12" s="2"/>
      <c r="CX12" s="2">
        <v>60</v>
      </c>
      <c r="CY12" s="2"/>
      <c r="CZ12" s="2"/>
      <c r="DA12" s="2"/>
      <c r="DB12" s="2">
        <v>60</v>
      </c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</row>
    <row r="13" spans="1:121" ht="17.25" thickBot="1">
      <c r="A13" s="89" t="s">
        <v>103</v>
      </c>
      <c r="B13" s="93" t="s">
        <v>87</v>
      </c>
      <c r="C13" s="184" t="s">
        <v>159</v>
      </c>
      <c r="D13" s="69" t="s">
        <v>185</v>
      </c>
      <c r="E13" s="2" t="s">
        <v>89</v>
      </c>
      <c r="F13" s="2">
        <v>6</v>
      </c>
      <c r="G13" s="2"/>
      <c r="H13" s="2"/>
      <c r="I13" s="2"/>
      <c r="J13" s="2"/>
      <c r="K13" s="2"/>
      <c r="L13" s="2">
        <v>6</v>
      </c>
      <c r="M13" s="2"/>
      <c r="N13" s="2"/>
      <c r="O13" s="2"/>
      <c r="P13" s="2"/>
      <c r="Q13" s="2"/>
      <c r="R13" s="2">
        <v>7</v>
      </c>
      <c r="S13" s="2"/>
      <c r="T13" s="2"/>
      <c r="U13" s="2"/>
      <c r="V13" s="2"/>
      <c r="W13" s="2"/>
      <c r="X13" s="2">
        <v>13</v>
      </c>
      <c r="Y13" s="2"/>
      <c r="Z13" s="2"/>
      <c r="AA13" s="2"/>
      <c r="AB13" s="2"/>
      <c r="AC13" s="2"/>
      <c r="AD13" s="2">
        <v>12</v>
      </c>
      <c r="AE13" s="2"/>
      <c r="AF13" s="2"/>
      <c r="AG13" s="2"/>
      <c r="AH13" s="2"/>
      <c r="AI13" s="2"/>
      <c r="AJ13" s="2">
        <v>12</v>
      </c>
      <c r="AK13" s="2"/>
      <c r="AL13" s="2"/>
      <c r="AM13" s="2"/>
      <c r="AN13" s="2"/>
      <c r="AO13" s="2"/>
      <c r="AP13" s="2">
        <v>8</v>
      </c>
      <c r="AQ13" s="2"/>
      <c r="AR13" s="2"/>
      <c r="AS13" s="2"/>
      <c r="AT13" s="2"/>
      <c r="AU13" s="2"/>
      <c r="AV13" s="2">
        <v>10</v>
      </c>
      <c r="AW13" s="2"/>
      <c r="AX13" s="2"/>
      <c r="AY13" s="2"/>
      <c r="AZ13" s="2"/>
      <c r="BA13" s="2"/>
      <c r="BB13" s="2">
        <v>13</v>
      </c>
      <c r="BC13" s="2"/>
      <c r="BD13" s="2"/>
      <c r="BE13" s="2"/>
      <c r="BF13" s="2"/>
      <c r="BG13" s="2"/>
      <c r="BH13" s="2">
        <v>5</v>
      </c>
      <c r="BI13" s="2"/>
      <c r="BJ13" s="2"/>
      <c r="BK13" s="2"/>
      <c r="BL13" s="2"/>
      <c r="BM13" s="2"/>
      <c r="BN13" s="2">
        <v>19</v>
      </c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>
        <v>21</v>
      </c>
      <c r="CA13" s="2"/>
      <c r="CB13" s="2"/>
      <c r="CC13" s="2"/>
      <c r="CD13" s="2"/>
      <c r="CE13" s="2"/>
      <c r="CF13" s="2">
        <v>29</v>
      </c>
      <c r="CG13" s="2"/>
      <c r="CH13" s="2"/>
      <c r="CI13" s="2"/>
      <c r="CJ13" s="2"/>
      <c r="CK13" s="2"/>
      <c r="CL13" s="2">
        <v>32</v>
      </c>
      <c r="CM13" s="2"/>
      <c r="CN13" s="2"/>
      <c r="CO13" s="2"/>
      <c r="CP13" s="2"/>
      <c r="CQ13" s="2"/>
      <c r="CR13" s="2">
        <v>30</v>
      </c>
      <c r="CS13" s="2"/>
      <c r="CT13" s="2"/>
      <c r="CU13" s="2"/>
      <c r="CV13" s="2"/>
      <c r="CW13" s="2"/>
      <c r="CX13" s="2">
        <v>60</v>
      </c>
      <c r="CY13" s="2"/>
      <c r="CZ13" s="2"/>
      <c r="DA13" s="2"/>
      <c r="DB13" s="2">
        <v>60</v>
      </c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</row>
    <row r="14" spans="1:121" ht="17.25" thickBot="1">
      <c r="A14" s="91" t="s">
        <v>104</v>
      </c>
      <c r="B14" s="93" t="s">
        <v>87</v>
      </c>
      <c r="C14" s="184" t="s">
        <v>160</v>
      </c>
      <c r="D14" s="69" t="s">
        <v>185</v>
      </c>
      <c r="E14" s="2" t="s">
        <v>89</v>
      </c>
      <c r="F14" s="2">
        <v>5</v>
      </c>
      <c r="G14" s="2"/>
      <c r="H14" s="2"/>
      <c r="I14" s="2"/>
      <c r="J14" s="2"/>
      <c r="K14" s="2"/>
      <c r="L14" s="2">
        <v>4</v>
      </c>
      <c r="M14" s="2"/>
      <c r="N14" s="2"/>
      <c r="O14" s="2"/>
      <c r="P14" s="2"/>
      <c r="Q14" s="2"/>
      <c r="R14" s="2">
        <v>7</v>
      </c>
      <c r="S14" s="2"/>
      <c r="T14" s="2"/>
      <c r="U14" s="2"/>
      <c r="V14" s="2"/>
      <c r="W14" s="2"/>
      <c r="X14" s="2">
        <v>5</v>
      </c>
      <c r="Y14" s="2"/>
      <c r="Z14" s="2"/>
      <c r="AA14" s="2"/>
      <c r="AB14" s="2"/>
      <c r="AC14" s="2"/>
      <c r="AD14" s="2">
        <v>9</v>
      </c>
      <c r="AE14" s="2"/>
      <c r="AF14" s="2"/>
      <c r="AG14" s="2"/>
      <c r="AH14" s="2"/>
      <c r="AI14" s="2"/>
      <c r="AJ14" s="2">
        <v>6</v>
      </c>
      <c r="AK14" s="2"/>
      <c r="AL14" s="2"/>
      <c r="AM14" s="2"/>
      <c r="AN14" s="2"/>
      <c r="AO14" s="2"/>
      <c r="AP14" s="2">
        <v>10</v>
      </c>
      <c r="AQ14" s="2"/>
      <c r="AR14" s="2"/>
      <c r="AS14" s="2"/>
      <c r="AT14" s="2"/>
      <c r="AU14" s="2"/>
      <c r="AV14" s="2">
        <v>10</v>
      </c>
      <c r="AW14" s="2"/>
      <c r="AX14" s="2"/>
      <c r="AY14" s="2"/>
      <c r="AZ14" s="2"/>
      <c r="BA14" s="2"/>
      <c r="BB14" s="2">
        <v>9</v>
      </c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>
        <v>20</v>
      </c>
      <c r="BO14" s="2"/>
      <c r="BP14" s="2"/>
      <c r="BQ14" s="2"/>
      <c r="BR14" s="2"/>
      <c r="BS14" s="2"/>
      <c r="BT14" s="2">
        <v>16</v>
      </c>
      <c r="BU14" s="2"/>
      <c r="BV14" s="2"/>
      <c r="BW14" s="2"/>
      <c r="BX14" s="2"/>
      <c r="BY14" s="2"/>
      <c r="BZ14" s="2">
        <v>21</v>
      </c>
      <c r="CA14" s="2"/>
      <c r="CB14" s="2"/>
      <c r="CC14" s="2"/>
      <c r="CD14" s="2"/>
      <c r="CE14" s="2"/>
      <c r="CF14" s="2">
        <v>20</v>
      </c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>
        <v>39</v>
      </c>
      <c r="CS14" s="2"/>
      <c r="CT14" s="2"/>
      <c r="CU14" s="2"/>
      <c r="CV14" s="2"/>
      <c r="CW14" s="2"/>
      <c r="CX14" s="2">
        <v>60</v>
      </c>
      <c r="CY14" s="2"/>
      <c r="CZ14" s="2"/>
      <c r="DA14" s="2"/>
      <c r="DB14" s="2">
        <v>60</v>
      </c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</row>
    <row r="15" spans="1:121" ht="17.25" thickBot="1">
      <c r="A15" s="91" t="s">
        <v>105</v>
      </c>
      <c r="B15" s="93" t="s">
        <v>87</v>
      </c>
      <c r="C15" s="184" t="s">
        <v>161</v>
      </c>
      <c r="D15" s="69" t="s">
        <v>185</v>
      </c>
      <c r="E15" s="2" t="s">
        <v>89</v>
      </c>
      <c r="F15" s="2">
        <v>5</v>
      </c>
      <c r="G15" s="2"/>
      <c r="H15" s="2"/>
      <c r="I15" s="2"/>
      <c r="J15" s="2"/>
      <c r="K15" s="2"/>
      <c r="L15" s="2">
        <v>4</v>
      </c>
      <c r="M15" s="2"/>
      <c r="N15" s="2"/>
      <c r="O15" s="2"/>
      <c r="P15" s="2"/>
      <c r="Q15" s="2"/>
      <c r="R15" s="2">
        <v>6</v>
      </c>
      <c r="S15" s="2"/>
      <c r="T15" s="2"/>
      <c r="U15" s="2"/>
      <c r="V15" s="2"/>
      <c r="W15" s="2"/>
      <c r="X15" s="2">
        <v>4</v>
      </c>
      <c r="Y15" s="2"/>
      <c r="Z15" s="2"/>
      <c r="AA15" s="2"/>
      <c r="AB15" s="2"/>
      <c r="AC15" s="2"/>
      <c r="AD15" s="2">
        <v>8</v>
      </c>
      <c r="AE15" s="2"/>
      <c r="AF15" s="2"/>
      <c r="AG15" s="2"/>
      <c r="AH15" s="2"/>
      <c r="AI15" s="2"/>
      <c r="AJ15" s="2">
        <v>11</v>
      </c>
      <c r="AK15" s="2"/>
      <c r="AL15" s="2"/>
      <c r="AM15" s="2"/>
      <c r="AN15" s="2"/>
      <c r="AO15" s="2"/>
      <c r="AP15" s="2">
        <v>4</v>
      </c>
      <c r="AQ15" s="2"/>
      <c r="AR15" s="2"/>
      <c r="AS15" s="2"/>
      <c r="AT15" s="2"/>
      <c r="AU15" s="2"/>
      <c r="AV15" s="2">
        <v>5</v>
      </c>
      <c r="AW15" s="2"/>
      <c r="AX15" s="2"/>
      <c r="AY15" s="2"/>
      <c r="AZ15" s="2"/>
      <c r="BA15" s="2"/>
      <c r="BB15" s="2">
        <v>9</v>
      </c>
      <c r="BC15" s="2"/>
      <c r="BD15" s="2"/>
      <c r="BE15" s="2"/>
      <c r="BF15" s="2"/>
      <c r="BG15" s="2"/>
      <c r="BH15" s="2">
        <v>13</v>
      </c>
      <c r="BI15" s="2"/>
      <c r="BJ15" s="2"/>
      <c r="BK15" s="2"/>
      <c r="BL15" s="2"/>
      <c r="BM15" s="2"/>
      <c r="BN15" s="2">
        <v>14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>
        <v>22</v>
      </c>
      <c r="CA15" s="2"/>
      <c r="CB15" s="2"/>
      <c r="CC15" s="2"/>
      <c r="CD15" s="2"/>
      <c r="CE15" s="2"/>
      <c r="CF15" s="2">
        <v>20</v>
      </c>
      <c r="CG15" s="2"/>
      <c r="CH15" s="2"/>
      <c r="CI15" s="2"/>
      <c r="CJ15" s="2"/>
      <c r="CK15" s="2"/>
      <c r="CL15" s="2">
        <v>27</v>
      </c>
      <c r="CM15" s="2"/>
      <c r="CN15" s="2"/>
      <c r="CO15" s="2"/>
      <c r="CP15" s="2"/>
      <c r="CQ15" s="2"/>
      <c r="CR15" s="2">
        <v>31</v>
      </c>
      <c r="CS15" s="2"/>
      <c r="CT15" s="2"/>
      <c r="CU15" s="2"/>
      <c r="CV15" s="2"/>
      <c r="CW15" s="2"/>
      <c r="CX15" s="2">
        <v>60</v>
      </c>
      <c r="CY15" s="2"/>
      <c r="CZ15" s="2"/>
      <c r="DA15" s="2"/>
      <c r="DB15" s="2">
        <v>60</v>
      </c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</row>
    <row r="16" spans="1:121" ht="17.25" thickBot="1">
      <c r="A16" s="91" t="s">
        <v>106</v>
      </c>
      <c r="B16" s="93" t="s">
        <v>87</v>
      </c>
      <c r="C16" t="s">
        <v>160</v>
      </c>
      <c r="D16" s="69" t="s">
        <v>185</v>
      </c>
      <c r="E16" s="2" t="s">
        <v>89</v>
      </c>
      <c r="F16" s="2">
        <v>6</v>
      </c>
      <c r="G16" s="2"/>
      <c r="H16" s="2"/>
      <c r="I16" s="2"/>
      <c r="J16" s="2"/>
      <c r="K16" s="2"/>
      <c r="L16" s="2">
        <v>5</v>
      </c>
      <c r="M16" s="2"/>
      <c r="N16" s="2"/>
      <c r="O16" s="2"/>
      <c r="P16" s="2"/>
      <c r="Q16" s="2"/>
      <c r="R16" s="2">
        <v>6</v>
      </c>
      <c r="S16" s="2"/>
      <c r="T16" s="2"/>
      <c r="U16" s="2"/>
      <c r="V16" s="2"/>
      <c r="W16" s="2"/>
      <c r="X16" s="2">
        <v>9</v>
      </c>
      <c r="Y16" s="2"/>
      <c r="Z16" s="2"/>
      <c r="AA16" s="2"/>
      <c r="AB16" s="2"/>
      <c r="AC16" s="2"/>
      <c r="AD16" s="2">
        <v>10</v>
      </c>
      <c r="AE16" s="2"/>
      <c r="AF16" s="2"/>
      <c r="AG16" s="2"/>
      <c r="AH16" s="2"/>
      <c r="AI16" s="2"/>
      <c r="AJ16" s="2">
        <v>11</v>
      </c>
      <c r="AK16" s="2"/>
      <c r="AL16" s="2"/>
      <c r="AM16" s="2"/>
      <c r="AN16" s="2"/>
      <c r="AO16" s="2"/>
      <c r="AP16" s="2">
        <v>10</v>
      </c>
      <c r="AQ16" s="2"/>
      <c r="AR16" s="2"/>
      <c r="AS16" s="2"/>
      <c r="AT16" s="2"/>
      <c r="AU16" s="2"/>
      <c r="AV16" s="2">
        <v>12</v>
      </c>
      <c r="AW16" s="2"/>
      <c r="AX16" s="2"/>
      <c r="AY16" s="2"/>
      <c r="AZ16" s="2"/>
      <c r="BA16" s="2"/>
      <c r="BB16" s="2">
        <v>13</v>
      </c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>
        <v>21</v>
      </c>
      <c r="BO16" s="2"/>
      <c r="BP16" s="2"/>
      <c r="BQ16" s="2"/>
      <c r="BR16" s="2"/>
      <c r="BS16" s="2"/>
      <c r="BT16" s="2">
        <v>29</v>
      </c>
      <c r="BU16" s="2"/>
      <c r="BV16" s="2"/>
      <c r="BW16" s="2"/>
      <c r="BX16" s="2"/>
      <c r="BY16" s="2"/>
      <c r="BZ16" s="2">
        <v>22</v>
      </c>
      <c r="CA16" s="2"/>
      <c r="CB16" s="2"/>
      <c r="CC16" s="2"/>
      <c r="CD16" s="2"/>
      <c r="CE16" s="2"/>
      <c r="CF16" s="2">
        <v>22</v>
      </c>
      <c r="CG16" s="2"/>
      <c r="CH16" s="2"/>
      <c r="CI16" s="2"/>
      <c r="CJ16" s="2"/>
      <c r="CK16" s="2"/>
      <c r="CL16" s="2">
        <v>23</v>
      </c>
      <c r="CM16" s="2"/>
      <c r="CN16" s="2"/>
      <c r="CO16" s="2"/>
      <c r="CP16" s="2"/>
      <c r="CQ16" s="2"/>
      <c r="CR16" s="2">
        <v>33</v>
      </c>
      <c r="CS16" s="2"/>
      <c r="CT16" s="2"/>
      <c r="CU16" s="2"/>
      <c r="CV16" s="2"/>
      <c r="CW16" s="2"/>
      <c r="CX16" s="2">
        <v>60</v>
      </c>
      <c r="CY16" s="2"/>
      <c r="CZ16" s="2"/>
      <c r="DA16" s="2"/>
      <c r="DB16" s="2">
        <v>60</v>
      </c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</row>
    <row r="17" spans="1:121" ht="17.25" thickBot="1">
      <c r="A17" s="91" t="s">
        <v>107</v>
      </c>
      <c r="B17" s="93" t="s">
        <v>87</v>
      </c>
      <c r="C17" s="184" t="s">
        <v>162</v>
      </c>
      <c r="D17" s="69" t="s">
        <v>185</v>
      </c>
      <c r="E17" s="2" t="s">
        <v>89</v>
      </c>
      <c r="F17" s="2">
        <v>6</v>
      </c>
      <c r="G17" s="2"/>
      <c r="H17" s="2"/>
      <c r="I17" s="2"/>
      <c r="J17" s="2"/>
      <c r="K17" s="2"/>
      <c r="L17" s="2">
        <v>5</v>
      </c>
      <c r="M17" s="2"/>
      <c r="N17" s="2"/>
      <c r="O17" s="2"/>
      <c r="P17" s="2"/>
      <c r="Q17" s="2"/>
      <c r="R17" s="2">
        <v>6</v>
      </c>
      <c r="S17" s="2"/>
      <c r="T17" s="2"/>
      <c r="U17" s="2"/>
      <c r="V17" s="2"/>
      <c r="W17" s="2"/>
      <c r="X17" s="2">
        <v>9</v>
      </c>
      <c r="Y17" s="2"/>
      <c r="Z17" s="2"/>
      <c r="AA17" s="2"/>
      <c r="AB17" s="2"/>
      <c r="AC17" s="2"/>
      <c r="AD17" s="2">
        <v>11</v>
      </c>
      <c r="AE17" s="2"/>
      <c r="AF17" s="2"/>
      <c r="AG17" s="2"/>
      <c r="AH17" s="2"/>
      <c r="AI17" s="2"/>
      <c r="AJ17" s="2">
        <v>10</v>
      </c>
      <c r="AK17" s="2"/>
      <c r="AL17" s="2"/>
      <c r="AM17" s="2"/>
      <c r="AN17" s="2"/>
      <c r="AO17" s="2"/>
      <c r="AP17" s="2">
        <v>10</v>
      </c>
      <c r="AQ17" s="2"/>
      <c r="AR17" s="2"/>
      <c r="AS17" s="2"/>
      <c r="AT17" s="2"/>
      <c r="AU17" s="2"/>
      <c r="AV17" s="2">
        <v>7</v>
      </c>
      <c r="AW17" s="2"/>
      <c r="AX17" s="2"/>
      <c r="AY17" s="2"/>
      <c r="AZ17" s="2"/>
      <c r="BA17" s="2"/>
      <c r="BB17" s="2">
        <v>12</v>
      </c>
      <c r="BC17" s="2"/>
      <c r="BD17" s="2"/>
      <c r="BE17" s="2"/>
      <c r="BF17" s="2"/>
      <c r="BG17" s="2"/>
      <c r="BH17" s="2">
        <v>15</v>
      </c>
      <c r="BI17" s="2"/>
      <c r="BJ17" s="2"/>
      <c r="BK17" s="2"/>
      <c r="BL17" s="2"/>
      <c r="BM17" s="2"/>
      <c r="BN17" s="2">
        <v>17</v>
      </c>
      <c r="BO17" s="2"/>
      <c r="BP17" s="2"/>
      <c r="BQ17" s="2"/>
      <c r="BR17" s="2"/>
      <c r="BS17" s="2"/>
      <c r="BT17" s="2">
        <v>32</v>
      </c>
      <c r="BU17" s="2"/>
      <c r="BV17" s="2"/>
      <c r="BW17" s="2"/>
      <c r="BX17" s="2"/>
      <c r="BY17" s="2"/>
      <c r="BZ17" s="2">
        <v>21</v>
      </c>
      <c r="CA17" s="2"/>
      <c r="CB17" s="2"/>
      <c r="CC17" s="2"/>
      <c r="CD17" s="2"/>
      <c r="CE17" s="2"/>
      <c r="CF17" s="2">
        <v>20</v>
      </c>
      <c r="CG17" s="2"/>
      <c r="CH17" s="2"/>
      <c r="CI17" s="2"/>
      <c r="CJ17" s="2"/>
      <c r="CK17" s="2"/>
      <c r="CL17" s="2">
        <v>21</v>
      </c>
      <c r="CM17" s="2"/>
      <c r="CN17" s="2"/>
      <c r="CO17" s="2"/>
      <c r="CP17" s="2"/>
      <c r="CQ17" s="2"/>
      <c r="CR17" s="2">
        <v>28</v>
      </c>
      <c r="CS17" s="2"/>
      <c r="CT17" s="2"/>
      <c r="CU17" s="2"/>
      <c r="CV17" s="2"/>
      <c r="CW17" s="2"/>
      <c r="CX17" s="2">
        <v>60</v>
      </c>
      <c r="CY17" s="2"/>
      <c r="CZ17" s="2"/>
      <c r="DA17" s="2"/>
      <c r="DB17" s="2">
        <v>60</v>
      </c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</row>
    <row r="18" spans="1:121" ht="17.25" thickBot="1">
      <c r="A18" s="91" t="s">
        <v>108</v>
      </c>
      <c r="B18" s="93" t="s">
        <v>87</v>
      </c>
      <c r="C18" s="184" t="s">
        <v>160</v>
      </c>
      <c r="D18" s="69" t="s">
        <v>185</v>
      </c>
      <c r="E18" s="2" t="s">
        <v>89</v>
      </c>
      <c r="F18" s="2">
        <v>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>
        <v>6</v>
      </c>
      <c r="S18" s="2"/>
      <c r="T18" s="2"/>
      <c r="U18" s="2"/>
      <c r="V18" s="2"/>
      <c r="W18" s="2"/>
      <c r="X18" s="2">
        <v>4</v>
      </c>
      <c r="Y18" s="2"/>
      <c r="Z18" s="2"/>
      <c r="AA18" s="2"/>
      <c r="AB18" s="2"/>
      <c r="AC18" s="2"/>
      <c r="AD18" s="2">
        <v>9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>
        <v>5</v>
      </c>
      <c r="AQ18" s="2"/>
      <c r="AR18" s="2"/>
      <c r="AS18" s="2"/>
      <c r="AT18" s="2"/>
      <c r="AU18" s="2"/>
      <c r="AV18" s="2">
        <v>10</v>
      </c>
      <c r="AW18" s="2"/>
      <c r="AX18" s="2"/>
      <c r="AY18" s="2"/>
      <c r="AZ18" s="2"/>
      <c r="BA18" s="2"/>
      <c r="BB18" s="2">
        <v>11</v>
      </c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>
        <v>6</v>
      </c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>
        <v>22</v>
      </c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>
        <v>31</v>
      </c>
      <c r="CS18" s="2"/>
      <c r="CT18" s="2"/>
      <c r="CU18" s="2"/>
      <c r="CV18" s="2"/>
      <c r="CW18" s="2"/>
      <c r="CX18" s="2">
        <v>60</v>
      </c>
      <c r="CY18" s="2"/>
      <c r="CZ18" s="2"/>
      <c r="DA18" s="2"/>
      <c r="DB18" s="2">
        <v>60</v>
      </c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</row>
    <row r="19" spans="1:121" ht="17.25" thickBot="1">
      <c r="A19" s="91" t="s">
        <v>109</v>
      </c>
      <c r="B19" s="93" t="s">
        <v>87</v>
      </c>
      <c r="C19" s="184" t="s">
        <v>160</v>
      </c>
      <c r="D19" s="69" t="s">
        <v>185</v>
      </c>
      <c r="E19" s="2" t="s">
        <v>89</v>
      </c>
      <c r="F19" s="2">
        <v>3</v>
      </c>
      <c r="G19" s="2"/>
      <c r="H19" s="2"/>
      <c r="I19" s="2"/>
      <c r="J19" s="2"/>
      <c r="K19" s="2"/>
      <c r="L19" s="2">
        <v>4</v>
      </c>
      <c r="M19" s="2"/>
      <c r="N19" s="2"/>
      <c r="O19" s="2"/>
      <c r="P19" s="2"/>
      <c r="Q19" s="2"/>
      <c r="R19" s="2">
        <v>6</v>
      </c>
      <c r="S19" s="2"/>
      <c r="T19" s="2"/>
      <c r="U19" s="2"/>
      <c r="V19" s="2"/>
      <c r="W19" s="2"/>
      <c r="X19" s="2">
        <v>12</v>
      </c>
      <c r="Y19" s="2"/>
      <c r="Z19" s="2"/>
      <c r="AA19" s="2"/>
      <c r="AB19" s="2"/>
      <c r="AC19" s="2"/>
      <c r="AD19" s="2">
        <v>11</v>
      </c>
      <c r="AE19" s="2"/>
      <c r="AF19" s="2"/>
      <c r="AG19" s="2"/>
      <c r="AH19" s="2"/>
      <c r="AI19" s="2"/>
      <c r="AJ19" s="2">
        <v>13</v>
      </c>
      <c r="AK19" s="2"/>
      <c r="AL19" s="2"/>
      <c r="AM19" s="2"/>
      <c r="AN19" s="2"/>
      <c r="AO19" s="2"/>
      <c r="AP19" s="2">
        <v>12</v>
      </c>
      <c r="AQ19" s="2"/>
      <c r="AR19" s="2"/>
      <c r="AS19" s="2"/>
      <c r="AT19" s="2"/>
      <c r="AU19" s="2"/>
      <c r="AV19" s="2">
        <v>8</v>
      </c>
      <c r="AW19" s="2"/>
      <c r="AX19" s="2"/>
      <c r="AY19" s="2"/>
      <c r="AZ19" s="2"/>
      <c r="BA19" s="2"/>
      <c r="BB19" s="2">
        <v>12</v>
      </c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>
        <v>33</v>
      </c>
      <c r="BO19" s="2"/>
      <c r="BP19" s="2"/>
      <c r="BQ19" s="2"/>
      <c r="BR19" s="2"/>
      <c r="BS19" s="2"/>
      <c r="BT19" s="2">
        <v>30</v>
      </c>
      <c r="BU19" s="2"/>
      <c r="BV19" s="2"/>
      <c r="BW19" s="2"/>
      <c r="BX19" s="2"/>
      <c r="BY19" s="2"/>
      <c r="BZ19" s="2">
        <v>23</v>
      </c>
      <c r="CA19" s="2"/>
      <c r="CB19" s="2"/>
      <c r="CC19" s="2"/>
      <c r="CD19" s="2"/>
      <c r="CE19" s="2"/>
      <c r="CF19" s="2">
        <v>26</v>
      </c>
      <c r="CG19" s="2"/>
      <c r="CH19" s="2"/>
      <c r="CI19" s="2"/>
      <c r="CJ19" s="2"/>
      <c r="CK19" s="2"/>
      <c r="CL19" s="2">
        <v>34</v>
      </c>
      <c r="CM19" s="2"/>
      <c r="CN19" s="2"/>
      <c r="CO19" s="2"/>
      <c r="CP19" s="2"/>
      <c r="CQ19" s="2"/>
      <c r="CR19" s="2">
        <v>30</v>
      </c>
      <c r="CS19" s="2"/>
      <c r="CT19" s="2"/>
      <c r="CU19" s="2"/>
      <c r="CV19" s="2"/>
      <c r="CW19" s="2"/>
      <c r="CX19" s="2">
        <v>60</v>
      </c>
      <c r="CY19" s="2"/>
      <c r="CZ19" s="2"/>
      <c r="DA19" s="2"/>
      <c r="DB19" s="2">
        <v>60</v>
      </c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</row>
    <row r="20" spans="1:121" ht="17.25" thickBot="1">
      <c r="A20" s="91" t="s">
        <v>110</v>
      </c>
      <c r="B20" s="93" t="s">
        <v>87</v>
      </c>
      <c r="C20" s="184" t="s">
        <v>217</v>
      </c>
      <c r="D20" s="69" t="s">
        <v>185</v>
      </c>
      <c r="E20" s="2" t="s">
        <v>89</v>
      </c>
      <c r="F20" s="2">
        <v>3</v>
      </c>
      <c r="G20" s="2"/>
      <c r="H20" s="2"/>
      <c r="I20" s="2"/>
      <c r="J20" s="2"/>
      <c r="K20" s="2"/>
      <c r="L20" s="2">
        <v>4</v>
      </c>
      <c r="M20" s="2"/>
      <c r="N20" s="2"/>
      <c r="O20" s="2"/>
      <c r="P20" s="2"/>
      <c r="Q20" s="2"/>
      <c r="R20" s="2">
        <v>7</v>
      </c>
      <c r="S20" s="2"/>
      <c r="T20" s="2"/>
      <c r="U20" s="2"/>
      <c r="V20" s="2"/>
      <c r="W20" s="2"/>
      <c r="X20" s="2">
        <v>5</v>
      </c>
      <c r="Y20" s="2"/>
      <c r="Z20" s="2"/>
      <c r="AA20" s="2"/>
      <c r="AB20" s="2"/>
      <c r="AC20" s="2"/>
      <c r="AD20" s="2">
        <v>8</v>
      </c>
      <c r="AE20" s="2"/>
      <c r="AF20" s="2"/>
      <c r="AG20" s="2"/>
      <c r="AH20" s="2"/>
      <c r="AI20" s="2"/>
      <c r="AJ20" s="2">
        <v>12</v>
      </c>
      <c r="AK20" s="2"/>
      <c r="AL20" s="2"/>
      <c r="AM20" s="2"/>
      <c r="AN20" s="2"/>
      <c r="AO20" s="2"/>
      <c r="AP20" s="2">
        <v>10</v>
      </c>
      <c r="AQ20" s="2"/>
      <c r="AR20" s="2"/>
      <c r="AS20" s="2"/>
      <c r="AT20" s="2"/>
      <c r="AU20" s="2"/>
      <c r="AV20" s="2">
        <v>14</v>
      </c>
      <c r="AW20" s="2"/>
      <c r="AX20" s="2"/>
      <c r="AY20" s="2"/>
      <c r="AZ20" s="2"/>
      <c r="BA20" s="2"/>
      <c r="BB20" s="2">
        <v>12</v>
      </c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>
        <v>20</v>
      </c>
      <c r="BO20" s="2"/>
      <c r="BP20" s="2"/>
      <c r="BQ20" s="2"/>
      <c r="BR20" s="2"/>
      <c r="BS20" s="2"/>
      <c r="BT20" s="2">
        <v>18</v>
      </c>
      <c r="BU20" s="2"/>
      <c r="BV20" s="2"/>
      <c r="BW20" s="2"/>
      <c r="BX20" s="2"/>
      <c r="BY20" s="2"/>
      <c r="BZ20" s="2">
        <v>20</v>
      </c>
      <c r="CA20" s="2"/>
      <c r="CB20" s="2"/>
      <c r="CC20" s="2"/>
      <c r="CD20" s="2"/>
      <c r="CE20" s="2"/>
      <c r="CF20" s="2">
        <v>22</v>
      </c>
      <c r="CG20" s="2"/>
      <c r="CH20" s="2"/>
      <c r="CI20" s="2"/>
      <c r="CJ20" s="2"/>
      <c r="CK20" s="2"/>
      <c r="CL20" s="2">
        <v>25</v>
      </c>
      <c r="CM20" s="2"/>
      <c r="CN20" s="2"/>
      <c r="CO20" s="2"/>
      <c r="CP20" s="2"/>
      <c r="CQ20" s="2"/>
      <c r="CR20" s="2">
        <v>25</v>
      </c>
      <c r="CS20" s="2"/>
      <c r="CT20" s="2"/>
      <c r="CU20" s="2"/>
      <c r="CV20" s="2"/>
      <c r="CW20" s="2"/>
      <c r="CX20" s="2">
        <v>60</v>
      </c>
      <c r="CY20" s="2"/>
      <c r="CZ20" s="2"/>
      <c r="DA20" s="2"/>
      <c r="DB20" s="2">
        <v>60</v>
      </c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</row>
    <row r="21" spans="1:121" ht="17.25" thickBot="1">
      <c r="A21" s="89" t="s">
        <v>111</v>
      </c>
      <c r="B21" s="93" t="s">
        <v>87</v>
      </c>
      <c r="C21" s="184" t="s">
        <v>163</v>
      </c>
      <c r="D21" s="69" t="s">
        <v>185</v>
      </c>
      <c r="E21" s="2" t="s">
        <v>89</v>
      </c>
      <c r="F21" s="2">
        <v>5</v>
      </c>
      <c r="G21" s="2"/>
      <c r="H21" s="2"/>
      <c r="I21" s="2"/>
      <c r="J21" s="2"/>
      <c r="K21" s="2"/>
      <c r="L21" s="2">
        <v>6</v>
      </c>
      <c r="M21" s="2"/>
      <c r="N21" s="2"/>
      <c r="O21" s="2"/>
      <c r="P21" s="2"/>
      <c r="Q21" s="2"/>
      <c r="R21" s="2">
        <v>7</v>
      </c>
      <c r="S21" s="2"/>
      <c r="T21" s="2"/>
      <c r="U21" s="2"/>
      <c r="V21" s="2"/>
      <c r="W21" s="2"/>
      <c r="X21" s="2">
        <v>10</v>
      </c>
      <c r="Y21" s="2"/>
      <c r="Z21" s="2"/>
      <c r="AA21" s="2"/>
      <c r="AB21" s="2"/>
      <c r="AC21" s="2"/>
      <c r="AD21" s="2">
        <v>13</v>
      </c>
      <c r="AE21" s="2"/>
      <c r="AF21" s="2"/>
      <c r="AG21" s="2"/>
      <c r="AH21" s="2"/>
      <c r="AI21" s="2"/>
      <c r="AJ21" s="2">
        <v>11</v>
      </c>
      <c r="AK21" s="2"/>
      <c r="AL21" s="2"/>
      <c r="AM21" s="2"/>
      <c r="AN21" s="2"/>
      <c r="AO21" s="2"/>
      <c r="AP21" s="2">
        <v>9</v>
      </c>
      <c r="AQ21" s="2"/>
      <c r="AR21" s="2"/>
      <c r="AS21" s="2"/>
      <c r="AT21" s="2"/>
      <c r="AU21" s="2"/>
      <c r="AV21" s="2">
        <v>11</v>
      </c>
      <c r="AW21" s="2"/>
      <c r="AX21" s="2"/>
      <c r="AY21" s="2"/>
      <c r="AZ21" s="2"/>
      <c r="BA21" s="2"/>
      <c r="BB21" s="2">
        <v>12</v>
      </c>
      <c r="BC21" s="2"/>
      <c r="BD21" s="2"/>
      <c r="BE21" s="2"/>
      <c r="BF21" s="2"/>
      <c r="BG21" s="2"/>
      <c r="BH21" s="2">
        <v>5</v>
      </c>
      <c r="BI21" s="2"/>
      <c r="BJ21" s="2"/>
      <c r="BK21" s="2"/>
      <c r="BL21" s="2"/>
      <c r="BM21" s="2"/>
      <c r="BN21" s="2">
        <v>24</v>
      </c>
      <c r="BO21" s="2"/>
      <c r="BP21" s="2"/>
      <c r="BQ21" s="2"/>
      <c r="BR21" s="2"/>
      <c r="BS21" s="2"/>
      <c r="BT21" s="2">
        <v>25</v>
      </c>
      <c r="BU21" s="2"/>
      <c r="BV21" s="2"/>
      <c r="BW21" s="2"/>
      <c r="BX21" s="2"/>
      <c r="BY21" s="2"/>
      <c r="BZ21" s="2">
        <v>23</v>
      </c>
      <c r="CA21" s="2"/>
      <c r="CB21" s="2"/>
      <c r="CC21" s="2"/>
      <c r="CD21" s="2"/>
      <c r="CE21" s="2"/>
      <c r="CF21" s="2">
        <v>21</v>
      </c>
      <c r="CG21" s="2"/>
      <c r="CH21" s="2"/>
      <c r="CI21" s="2"/>
      <c r="CJ21" s="2"/>
      <c r="CK21" s="2"/>
      <c r="CL21" s="2">
        <v>30</v>
      </c>
      <c r="CM21" s="2"/>
      <c r="CN21" s="2"/>
      <c r="CO21" s="2"/>
      <c r="CP21" s="2"/>
      <c r="CQ21" s="2"/>
      <c r="CR21" s="2">
        <v>15</v>
      </c>
      <c r="CS21" s="2"/>
      <c r="CT21" s="2"/>
      <c r="CU21" s="2"/>
      <c r="CV21" s="2"/>
      <c r="CW21" s="2"/>
      <c r="CX21" s="2">
        <v>60</v>
      </c>
      <c r="CY21" s="2"/>
      <c r="CZ21" s="2"/>
      <c r="DA21" s="2"/>
      <c r="DB21" s="2">
        <v>60</v>
      </c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</row>
    <row r="22" spans="1:121" ht="17.25" thickBot="1">
      <c r="A22" s="90" t="s">
        <v>112</v>
      </c>
      <c r="B22" s="93" t="s">
        <v>87</v>
      </c>
      <c r="C22" s="184" t="s">
        <v>164</v>
      </c>
      <c r="D22" s="69" t="s">
        <v>185</v>
      </c>
      <c r="E22" s="2" t="s">
        <v>89</v>
      </c>
      <c r="F22" s="2">
        <v>6</v>
      </c>
      <c r="G22" s="2"/>
      <c r="H22" s="2"/>
      <c r="I22" s="2"/>
      <c r="J22" s="2"/>
      <c r="K22" s="2"/>
      <c r="L22" s="2">
        <v>5</v>
      </c>
      <c r="M22" s="2"/>
      <c r="N22" s="2"/>
      <c r="O22" s="2"/>
      <c r="P22" s="2"/>
      <c r="Q22" s="2"/>
      <c r="R22" s="2">
        <v>7</v>
      </c>
      <c r="S22" s="2"/>
      <c r="T22" s="2"/>
      <c r="U22" s="2"/>
      <c r="V22" s="2"/>
      <c r="W22" s="2"/>
      <c r="X22" s="2">
        <v>7</v>
      </c>
      <c r="Y22" s="2"/>
      <c r="Z22" s="2"/>
      <c r="AA22" s="2"/>
      <c r="AB22" s="2"/>
      <c r="AC22" s="2"/>
      <c r="AD22" s="2">
        <v>10</v>
      </c>
      <c r="AE22" s="2"/>
      <c r="AF22" s="2"/>
      <c r="AG22" s="2"/>
      <c r="AH22" s="2"/>
      <c r="AI22" s="2"/>
      <c r="AJ22" s="2">
        <v>6</v>
      </c>
      <c r="AK22" s="2"/>
      <c r="AL22" s="2"/>
      <c r="AM22" s="2"/>
      <c r="AN22" s="2"/>
      <c r="AO22" s="2"/>
      <c r="AP22" s="2">
        <v>10</v>
      </c>
      <c r="AQ22" s="2"/>
      <c r="AR22" s="2"/>
      <c r="AS22" s="2"/>
      <c r="AT22" s="2"/>
      <c r="AU22" s="2"/>
      <c r="AV22" s="2">
        <v>10</v>
      </c>
      <c r="AW22" s="2"/>
      <c r="AX22" s="2"/>
      <c r="AY22" s="2"/>
      <c r="AZ22" s="2"/>
      <c r="BA22" s="2"/>
      <c r="BB22" s="2">
        <v>11</v>
      </c>
      <c r="BC22" s="2"/>
      <c r="BD22" s="2"/>
      <c r="BE22" s="2"/>
      <c r="BF22" s="2"/>
      <c r="BG22" s="2"/>
      <c r="BH22" s="2">
        <v>7</v>
      </c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>
        <v>26</v>
      </c>
      <c r="BU22" s="2"/>
      <c r="BV22" s="2"/>
      <c r="BW22" s="2"/>
      <c r="BX22" s="2"/>
      <c r="BY22" s="2"/>
      <c r="BZ22" s="2">
        <v>21</v>
      </c>
      <c r="CA22" s="2"/>
      <c r="CB22" s="2"/>
      <c r="CC22" s="2"/>
      <c r="CD22" s="2"/>
      <c r="CE22" s="2"/>
      <c r="CF22" s="2">
        <v>22</v>
      </c>
      <c r="CG22" s="2"/>
      <c r="CH22" s="2"/>
      <c r="CI22" s="2"/>
      <c r="CJ22" s="2"/>
      <c r="CK22" s="2"/>
      <c r="CL22" s="2">
        <v>38</v>
      </c>
      <c r="CM22" s="2"/>
      <c r="CN22" s="2"/>
      <c r="CO22" s="2"/>
      <c r="CP22" s="2"/>
      <c r="CQ22" s="2"/>
      <c r="CR22" s="2">
        <v>27</v>
      </c>
      <c r="CS22" s="2"/>
      <c r="CT22" s="2"/>
      <c r="CU22" s="2"/>
      <c r="CV22" s="2"/>
      <c r="CW22" s="2"/>
      <c r="CX22" s="2">
        <v>60</v>
      </c>
      <c r="CY22" s="2"/>
      <c r="CZ22" s="2"/>
      <c r="DA22" s="2"/>
      <c r="DB22" s="2">
        <v>60</v>
      </c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</row>
    <row r="23" spans="1:121" ht="17.25" thickBot="1">
      <c r="A23" s="91" t="s">
        <v>113</v>
      </c>
      <c r="B23" s="93" t="s">
        <v>87</v>
      </c>
      <c r="C23" s="184" t="s">
        <v>165</v>
      </c>
      <c r="D23" s="69" t="s">
        <v>185</v>
      </c>
      <c r="E23" s="2" t="s">
        <v>89</v>
      </c>
      <c r="F23" s="2">
        <v>3</v>
      </c>
      <c r="G23" s="2"/>
      <c r="H23" s="2"/>
      <c r="I23" s="2"/>
      <c r="J23" s="2"/>
      <c r="K23" s="2"/>
      <c r="L23" s="2">
        <v>5</v>
      </c>
      <c r="M23" s="2"/>
      <c r="N23" s="2"/>
      <c r="O23" s="2"/>
      <c r="P23" s="2"/>
      <c r="Q23" s="2"/>
      <c r="R23" s="2">
        <v>7</v>
      </c>
      <c r="S23" s="2"/>
      <c r="T23" s="2"/>
      <c r="U23" s="2"/>
      <c r="V23" s="2"/>
      <c r="W23" s="2"/>
      <c r="X23" s="2">
        <v>16</v>
      </c>
      <c r="Y23" s="2"/>
      <c r="Z23" s="2"/>
      <c r="AA23" s="2"/>
      <c r="AB23" s="2"/>
      <c r="AC23" s="2"/>
      <c r="AD23" s="2">
        <v>10</v>
      </c>
      <c r="AE23" s="2"/>
      <c r="AF23" s="2"/>
      <c r="AG23" s="2"/>
      <c r="AH23" s="2"/>
      <c r="AI23" s="2"/>
      <c r="AJ23" s="2">
        <v>12</v>
      </c>
      <c r="AK23" s="2"/>
      <c r="AL23" s="2"/>
      <c r="AM23" s="2"/>
      <c r="AN23" s="2"/>
      <c r="AO23" s="2"/>
      <c r="AP23" s="2">
        <v>7</v>
      </c>
      <c r="AQ23" s="2"/>
      <c r="AR23" s="2"/>
      <c r="AS23" s="2"/>
      <c r="AT23" s="2"/>
      <c r="AU23" s="2"/>
      <c r="AV23" s="2">
        <v>12</v>
      </c>
      <c r="AW23" s="2"/>
      <c r="AX23" s="2"/>
      <c r="AY23" s="2"/>
      <c r="AZ23" s="2"/>
      <c r="BA23" s="2"/>
      <c r="BB23" s="2">
        <v>8</v>
      </c>
      <c r="BC23" s="2"/>
      <c r="BD23" s="2"/>
      <c r="BE23" s="2"/>
      <c r="BF23" s="2"/>
      <c r="BG23" s="2"/>
      <c r="BH23" s="2">
        <v>4</v>
      </c>
      <c r="BI23" s="2"/>
      <c r="BJ23" s="2"/>
      <c r="BK23" s="2"/>
      <c r="BL23" s="2"/>
      <c r="BM23" s="2"/>
      <c r="BN23" s="2">
        <v>20</v>
      </c>
      <c r="BO23" s="2"/>
      <c r="BP23" s="2"/>
      <c r="BQ23" s="2"/>
      <c r="BR23" s="2"/>
      <c r="BS23" s="2"/>
      <c r="BT23" s="2">
        <v>25</v>
      </c>
      <c r="BU23" s="2"/>
      <c r="BV23" s="2"/>
      <c r="BW23" s="2"/>
      <c r="BX23" s="2"/>
      <c r="BY23" s="2"/>
      <c r="BZ23" s="2">
        <v>17</v>
      </c>
      <c r="CA23" s="2"/>
      <c r="CB23" s="2"/>
      <c r="CC23" s="2"/>
      <c r="CD23" s="2"/>
      <c r="CE23" s="2"/>
      <c r="CF23" s="2">
        <v>20</v>
      </c>
      <c r="CG23" s="2"/>
      <c r="CH23" s="2"/>
      <c r="CI23" s="2"/>
      <c r="CJ23" s="2"/>
      <c r="CK23" s="2"/>
      <c r="CL23" s="2">
        <v>20</v>
      </c>
      <c r="CM23" s="2"/>
      <c r="CN23" s="2"/>
      <c r="CO23" s="2"/>
      <c r="CP23" s="2"/>
      <c r="CQ23" s="2"/>
      <c r="CR23" s="2">
        <v>28</v>
      </c>
      <c r="CS23" s="2"/>
      <c r="CT23" s="2"/>
      <c r="CU23" s="2"/>
      <c r="CV23" s="2"/>
      <c r="CW23" s="2"/>
      <c r="CX23" s="2">
        <v>60</v>
      </c>
      <c r="CY23" s="2"/>
      <c r="CZ23" s="2"/>
      <c r="DA23" s="2"/>
      <c r="DB23" s="2">
        <v>60</v>
      </c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</row>
    <row r="24" spans="1:121" ht="17.25" thickBot="1">
      <c r="A24" s="91" t="s">
        <v>114</v>
      </c>
      <c r="B24" s="93" t="s">
        <v>87</v>
      </c>
      <c r="C24" s="184" t="s">
        <v>166</v>
      </c>
      <c r="D24" s="69" t="s">
        <v>185</v>
      </c>
      <c r="E24" s="2" t="s">
        <v>89</v>
      </c>
      <c r="F24" s="2">
        <v>6</v>
      </c>
      <c r="G24" s="2"/>
      <c r="H24" s="2"/>
      <c r="I24" s="2"/>
      <c r="J24" s="2"/>
      <c r="K24" s="2"/>
      <c r="L24" s="2">
        <v>5</v>
      </c>
      <c r="M24" s="2"/>
      <c r="N24" s="2"/>
      <c r="O24" s="2"/>
      <c r="P24" s="2"/>
      <c r="Q24" s="2"/>
      <c r="R24" s="2">
        <v>6</v>
      </c>
      <c r="S24" s="2"/>
      <c r="T24" s="2"/>
      <c r="U24" s="2"/>
      <c r="V24" s="2"/>
      <c r="W24" s="2"/>
      <c r="X24" s="2">
        <v>5</v>
      </c>
      <c r="Y24" s="2"/>
      <c r="Z24" s="2"/>
      <c r="AA24" s="2"/>
      <c r="AB24" s="2"/>
      <c r="AC24" s="2"/>
      <c r="AD24" s="2">
        <v>10</v>
      </c>
      <c r="AE24" s="2"/>
      <c r="AF24" s="2"/>
      <c r="AG24" s="2"/>
      <c r="AH24" s="2"/>
      <c r="AI24" s="2"/>
      <c r="AJ24" s="2">
        <v>6</v>
      </c>
      <c r="AK24" s="2"/>
      <c r="AL24" s="2"/>
      <c r="AM24" s="2"/>
      <c r="AN24" s="2"/>
      <c r="AO24" s="2"/>
      <c r="AP24" s="2">
        <v>10</v>
      </c>
      <c r="AQ24" s="2"/>
      <c r="AR24" s="2"/>
      <c r="AS24" s="2"/>
      <c r="AT24" s="2"/>
      <c r="AU24" s="2"/>
      <c r="AV24" s="2">
        <v>8</v>
      </c>
      <c r="AW24" s="2"/>
      <c r="AX24" s="2"/>
      <c r="AY24" s="2"/>
      <c r="AZ24" s="2"/>
      <c r="BA24" s="2"/>
      <c r="BB24" s="2">
        <v>11</v>
      </c>
      <c r="BC24" s="2"/>
      <c r="BD24" s="2"/>
      <c r="BE24" s="2"/>
      <c r="BF24" s="2"/>
      <c r="BG24" s="2"/>
      <c r="BH24" s="2">
        <v>10</v>
      </c>
      <c r="BI24" s="2"/>
      <c r="BJ24" s="2"/>
      <c r="BK24" s="2"/>
      <c r="BL24" s="2"/>
      <c r="BM24" s="2"/>
      <c r="BN24" s="2">
        <v>13</v>
      </c>
      <c r="BO24" s="2"/>
      <c r="BP24" s="2"/>
      <c r="BQ24" s="2"/>
      <c r="BR24" s="2"/>
      <c r="BS24" s="2"/>
      <c r="BT24" s="2">
        <v>14</v>
      </c>
      <c r="BU24" s="2"/>
      <c r="BV24" s="2"/>
      <c r="BW24" s="2"/>
      <c r="BX24" s="2"/>
      <c r="BY24" s="2"/>
      <c r="BZ24" s="2">
        <v>22</v>
      </c>
      <c r="CA24" s="2"/>
      <c r="CB24" s="2"/>
      <c r="CC24" s="2"/>
      <c r="CD24" s="2"/>
      <c r="CE24" s="2"/>
      <c r="CF24" s="2">
        <v>22</v>
      </c>
      <c r="CG24" s="2"/>
      <c r="CH24" s="2"/>
      <c r="CI24" s="2"/>
      <c r="CJ24" s="2"/>
      <c r="CK24" s="2"/>
      <c r="CL24" s="2">
        <v>19</v>
      </c>
      <c r="CM24" s="2"/>
      <c r="CN24" s="2"/>
      <c r="CO24" s="2"/>
      <c r="CP24" s="2"/>
      <c r="CQ24" s="2"/>
      <c r="CR24" s="2">
        <v>33</v>
      </c>
      <c r="CS24" s="2"/>
      <c r="CT24" s="2"/>
      <c r="CU24" s="2"/>
      <c r="CV24" s="2"/>
      <c r="CW24" s="2"/>
      <c r="CX24" s="2">
        <v>60</v>
      </c>
      <c r="CY24" s="2"/>
      <c r="CZ24" s="2"/>
      <c r="DA24" s="2"/>
      <c r="DB24" s="2">
        <v>60</v>
      </c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</row>
    <row r="25" spans="1:121" ht="17.25" thickBot="1">
      <c r="A25" s="91" t="s">
        <v>115</v>
      </c>
      <c r="B25" s="93" t="s">
        <v>87</v>
      </c>
      <c r="C25" s="2" t="s">
        <v>167</v>
      </c>
      <c r="D25" s="69" t="s">
        <v>185</v>
      </c>
      <c r="E25" s="2" t="s">
        <v>89</v>
      </c>
      <c r="F25" s="2">
        <v>5</v>
      </c>
      <c r="G25" s="2"/>
      <c r="H25" s="2"/>
      <c r="I25" s="2"/>
      <c r="J25" s="2"/>
      <c r="K25" s="2"/>
      <c r="L25" s="2">
        <v>4</v>
      </c>
      <c r="M25" s="2"/>
      <c r="N25" s="2"/>
      <c r="O25" s="2"/>
      <c r="P25" s="2"/>
      <c r="Q25" s="2"/>
      <c r="R25" s="2">
        <v>7</v>
      </c>
      <c r="S25" s="2"/>
      <c r="T25" s="2"/>
      <c r="U25" s="2"/>
      <c r="V25" s="2"/>
      <c r="W25" s="2"/>
      <c r="X25" s="2">
        <v>14</v>
      </c>
      <c r="Y25" s="2"/>
      <c r="Z25" s="2"/>
      <c r="AA25" s="2"/>
      <c r="AB25" s="2"/>
      <c r="AC25" s="2"/>
      <c r="AD25" s="2">
        <v>9</v>
      </c>
      <c r="AE25" s="2"/>
      <c r="AF25" s="2"/>
      <c r="AG25" s="2"/>
      <c r="AH25" s="2"/>
      <c r="AI25" s="2"/>
      <c r="AJ25" s="2">
        <v>9</v>
      </c>
      <c r="AK25" s="2"/>
      <c r="AL25" s="2"/>
      <c r="AM25" s="2"/>
      <c r="AN25" s="2"/>
      <c r="AO25" s="2"/>
      <c r="AP25" s="2">
        <v>10</v>
      </c>
      <c r="AQ25" s="2"/>
      <c r="AR25" s="2"/>
      <c r="AS25" s="2"/>
      <c r="AT25" s="2"/>
      <c r="AU25" s="2"/>
      <c r="AV25" s="2">
        <v>8</v>
      </c>
      <c r="AW25" s="2"/>
      <c r="AX25" s="2"/>
      <c r="AY25" s="2"/>
      <c r="AZ25" s="2"/>
      <c r="BA25" s="2"/>
      <c r="BB25" s="2">
        <v>10</v>
      </c>
      <c r="BC25" s="2"/>
      <c r="BD25" s="2"/>
      <c r="BE25" s="2"/>
      <c r="BF25" s="2"/>
      <c r="BG25" s="2"/>
      <c r="BH25" s="2">
        <v>3</v>
      </c>
      <c r="BI25" s="2"/>
      <c r="BJ25" s="2"/>
      <c r="BK25" s="2"/>
      <c r="BL25" s="2"/>
      <c r="BM25" s="2"/>
      <c r="BN25" s="2">
        <v>18</v>
      </c>
      <c r="BO25" s="2"/>
      <c r="BP25" s="2"/>
      <c r="BQ25" s="2"/>
      <c r="BR25" s="2"/>
      <c r="BS25" s="2"/>
      <c r="BT25" s="2">
        <v>24</v>
      </c>
      <c r="BU25" s="2"/>
      <c r="BV25" s="2"/>
      <c r="BW25" s="2"/>
      <c r="BX25" s="2"/>
      <c r="BY25" s="2"/>
      <c r="BZ25" s="2">
        <v>21</v>
      </c>
      <c r="CA25" s="2"/>
      <c r="CB25" s="2"/>
      <c r="CC25" s="2"/>
      <c r="CD25" s="2"/>
      <c r="CE25" s="2"/>
      <c r="CF25" s="2">
        <v>24</v>
      </c>
      <c r="CG25" s="2"/>
      <c r="CH25" s="2"/>
      <c r="CI25" s="2"/>
      <c r="CJ25" s="2"/>
      <c r="CK25" s="2"/>
      <c r="CL25" s="2">
        <v>25</v>
      </c>
      <c r="CM25" s="2"/>
      <c r="CN25" s="2"/>
      <c r="CO25" s="2"/>
      <c r="CP25" s="2"/>
      <c r="CQ25" s="2"/>
      <c r="CR25" s="2">
        <v>29</v>
      </c>
      <c r="CS25" s="2"/>
      <c r="CT25" s="2"/>
      <c r="CU25" s="2"/>
      <c r="CV25" s="2"/>
      <c r="CW25" s="2"/>
      <c r="CX25" s="2">
        <v>60</v>
      </c>
      <c r="CY25" s="2"/>
      <c r="CZ25" s="2"/>
      <c r="DA25" s="2"/>
      <c r="DB25" s="2">
        <v>60</v>
      </c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</row>
    <row r="26" spans="1:121" ht="17.25" thickBot="1">
      <c r="A26" s="91" t="s">
        <v>116</v>
      </c>
      <c r="B26" s="93" t="s">
        <v>87</v>
      </c>
      <c r="C26" s="2" t="s">
        <v>168</v>
      </c>
      <c r="D26" s="69" t="s">
        <v>185</v>
      </c>
      <c r="E26" s="2" t="s">
        <v>89</v>
      </c>
      <c r="F26" s="2">
        <v>6</v>
      </c>
      <c r="G26" s="2"/>
      <c r="H26" s="2"/>
      <c r="I26" s="2"/>
      <c r="J26" s="2"/>
      <c r="K26" s="2"/>
      <c r="L26" s="2">
        <v>3</v>
      </c>
      <c r="M26" s="2"/>
      <c r="N26" s="2"/>
      <c r="O26" s="2"/>
      <c r="P26" s="2"/>
      <c r="Q26" s="2"/>
      <c r="R26" s="2">
        <v>7</v>
      </c>
      <c r="S26" s="2"/>
      <c r="T26" s="2"/>
      <c r="U26" s="2"/>
      <c r="V26" s="2"/>
      <c r="W26" s="2"/>
      <c r="X26" s="2">
        <v>11</v>
      </c>
      <c r="Y26" s="2"/>
      <c r="Z26" s="2"/>
      <c r="AA26" s="2"/>
      <c r="AB26" s="2"/>
      <c r="AC26" s="2"/>
      <c r="AD26" s="2">
        <v>8</v>
      </c>
      <c r="AE26" s="2"/>
      <c r="AF26" s="2"/>
      <c r="AG26" s="2"/>
      <c r="AH26" s="2"/>
      <c r="AI26" s="2"/>
      <c r="AJ26" s="2">
        <v>11</v>
      </c>
      <c r="AK26" s="2"/>
      <c r="AL26" s="2"/>
      <c r="AM26" s="2"/>
      <c r="AN26" s="2"/>
      <c r="AO26" s="2"/>
      <c r="AP26" s="2">
        <v>5</v>
      </c>
      <c r="AQ26" s="2"/>
      <c r="AR26" s="2"/>
      <c r="AS26" s="2"/>
      <c r="AT26" s="2"/>
      <c r="AU26" s="2"/>
      <c r="AV26" s="2">
        <v>11</v>
      </c>
      <c r="AW26" s="2"/>
      <c r="AX26" s="2"/>
      <c r="AY26" s="2"/>
      <c r="AZ26" s="2"/>
      <c r="BA26" s="2"/>
      <c r="BB26" s="2">
        <v>8</v>
      </c>
      <c r="BC26" s="2"/>
      <c r="BD26" s="2"/>
      <c r="BE26" s="2"/>
      <c r="BF26" s="2"/>
      <c r="BG26" s="2"/>
      <c r="BH26" s="2">
        <v>19</v>
      </c>
      <c r="BI26" s="2"/>
      <c r="BJ26" s="2"/>
      <c r="BK26" s="2"/>
      <c r="BL26" s="2"/>
      <c r="BM26" s="2"/>
      <c r="BN26" s="2">
        <v>15</v>
      </c>
      <c r="BO26" s="2"/>
      <c r="BP26" s="2"/>
      <c r="BQ26" s="2"/>
      <c r="BR26" s="2"/>
      <c r="BS26" s="2"/>
      <c r="BT26" s="2">
        <v>20</v>
      </c>
      <c r="BU26" s="2"/>
      <c r="BV26" s="2"/>
      <c r="BW26" s="2"/>
      <c r="BX26" s="2"/>
      <c r="BY26" s="2"/>
      <c r="BZ26" s="2">
        <v>18</v>
      </c>
      <c r="CA26" s="2"/>
      <c r="CB26" s="2"/>
      <c r="CC26" s="2"/>
      <c r="CD26" s="2"/>
      <c r="CE26" s="2"/>
      <c r="CF26" s="2">
        <v>16</v>
      </c>
      <c r="CG26" s="2"/>
      <c r="CH26" s="2"/>
      <c r="CI26" s="2"/>
      <c r="CJ26" s="2"/>
      <c r="CK26" s="2"/>
      <c r="CL26" s="2">
        <v>22</v>
      </c>
      <c r="CM26" s="2"/>
      <c r="CN26" s="2"/>
      <c r="CO26" s="2"/>
      <c r="CP26" s="2"/>
      <c r="CQ26" s="2"/>
      <c r="CR26" s="2">
        <v>29</v>
      </c>
      <c r="CS26" s="2"/>
      <c r="CT26" s="2"/>
      <c r="CU26" s="2"/>
      <c r="CV26" s="2"/>
      <c r="CW26" s="2"/>
      <c r="CX26" s="2">
        <v>60</v>
      </c>
      <c r="CY26" s="2"/>
      <c r="CZ26" s="2"/>
      <c r="DA26" s="2"/>
      <c r="DB26" s="2">
        <v>60</v>
      </c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</row>
    <row r="27" spans="1:121" ht="17.25" thickBot="1">
      <c r="A27" s="89" t="s">
        <v>117</v>
      </c>
      <c r="B27" s="93" t="s">
        <v>87</v>
      </c>
      <c r="C27" s="184" t="s">
        <v>169</v>
      </c>
      <c r="D27" s="69" t="s">
        <v>185</v>
      </c>
      <c r="E27" s="2" t="s">
        <v>89</v>
      </c>
      <c r="F27" s="2">
        <v>3</v>
      </c>
      <c r="G27" s="2"/>
      <c r="H27" s="2"/>
      <c r="I27" s="2"/>
      <c r="J27" s="2"/>
      <c r="K27" s="2"/>
      <c r="L27" s="2">
        <v>5</v>
      </c>
      <c r="M27" s="2"/>
      <c r="N27" s="2"/>
      <c r="O27" s="2"/>
      <c r="P27" s="2"/>
      <c r="Q27" s="2"/>
      <c r="R27" s="2">
        <v>8</v>
      </c>
      <c r="S27" s="2"/>
      <c r="T27" s="2"/>
      <c r="U27" s="2"/>
      <c r="V27" s="2"/>
      <c r="W27" s="2"/>
      <c r="X27" s="2">
        <v>5</v>
      </c>
      <c r="Y27" s="2"/>
      <c r="Z27" s="2"/>
      <c r="AA27" s="2"/>
      <c r="AB27" s="2"/>
      <c r="AC27" s="2"/>
      <c r="AD27" s="2">
        <v>5</v>
      </c>
      <c r="AE27" s="2"/>
      <c r="AF27" s="2"/>
      <c r="AG27" s="2"/>
      <c r="AH27" s="2"/>
      <c r="AI27" s="2"/>
      <c r="AJ27" s="2">
        <v>4</v>
      </c>
      <c r="AK27" s="2"/>
      <c r="AL27" s="2"/>
      <c r="AM27" s="2"/>
      <c r="AN27" s="2"/>
      <c r="AO27" s="2"/>
      <c r="AP27" s="2">
        <v>5</v>
      </c>
      <c r="AQ27" s="2"/>
      <c r="AR27" s="2"/>
      <c r="AS27" s="2"/>
      <c r="AT27" s="2"/>
      <c r="AU27" s="2"/>
      <c r="AV27" s="2">
        <v>7</v>
      </c>
      <c r="AW27" s="2"/>
      <c r="AX27" s="2"/>
      <c r="AY27" s="2"/>
      <c r="AZ27" s="2"/>
      <c r="BA27" s="2"/>
      <c r="BB27" s="2">
        <v>8</v>
      </c>
      <c r="BC27" s="2"/>
      <c r="BD27" s="2"/>
      <c r="BE27" s="2"/>
      <c r="BF27" s="2"/>
      <c r="BG27" s="2"/>
      <c r="BH27" s="2">
        <v>6</v>
      </c>
      <c r="BI27" s="2"/>
      <c r="BJ27" s="2"/>
      <c r="BK27" s="2"/>
      <c r="BL27" s="2"/>
      <c r="BM27" s="2"/>
      <c r="BN27" s="2">
        <v>21</v>
      </c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>
        <v>21</v>
      </c>
      <c r="CA27" s="2"/>
      <c r="CB27" s="2"/>
      <c r="CC27" s="2"/>
      <c r="CD27" s="2"/>
      <c r="CE27" s="2"/>
      <c r="CF27" s="2">
        <v>14</v>
      </c>
      <c r="CG27" s="2"/>
      <c r="CH27" s="2"/>
      <c r="CI27" s="2"/>
      <c r="CJ27" s="2"/>
      <c r="CK27" s="2"/>
      <c r="CL27" s="2">
        <v>22</v>
      </c>
      <c r="CM27" s="2"/>
      <c r="CN27" s="2"/>
      <c r="CO27" s="2"/>
      <c r="CP27" s="2"/>
      <c r="CQ27" s="2"/>
      <c r="CR27" s="2">
        <v>29</v>
      </c>
      <c r="CS27" s="2"/>
      <c r="CT27" s="2"/>
      <c r="CU27" s="2"/>
      <c r="CV27" s="2"/>
      <c r="CW27" s="2"/>
      <c r="CX27" s="2">
        <v>60</v>
      </c>
      <c r="CY27" s="2"/>
      <c r="CZ27" s="2"/>
      <c r="DA27" s="2"/>
      <c r="DB27" s="2">
        <v>60</v>
      </c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</row>
    <row r="28" spans="1:121" ht="17.25" thickBot="1">
      <c r="A28" s="91" t="s">
        <v>118</v>
      </c>
      <c r="B28" s="93" t="s">
        <v>87</v>
      </c>
      <c r="C28" s="2" t="s">
        <v>170</v>
      </c>
      <c r="D28" s="69" t="s">
        <v>185</v>
      </c>
      <c r="E28" s="2" t="s">
        <v>89</v>
      </c>
      <c r="F28" s="2">
        <v>6</v>
      </c>
      <c r="G28" s="2"/>
      <c r="H28" s="2"/>
      <c r="I28" s="2"/>
      <c r="J28" s="2"/>
      <c r="K28" s="2"/>
      <c r="L28" s="2">
        <v>5</v>
      </c>
      <c r="M28" s="2"/>
      <c r="N28" s="2"/>
      <c r="O28" s="2"/>
      <c r="P28" s="2"/>
      <c r="Q28" s="2"/>
      <c r="R28" s="2">
        <v>7</v>
      </c>
      <c r="S28" s="2"/>
      <c r="T28" s="2"/>
      <c r="U28" s="2"/>
      <c r="V28" s="2"/>
      <c r="W28" s="2"/>
      <c r="X28" s="2">
        <v>12</v>
      </c>
      <c r="Y28" s="2"/>
      <c r="Z28" s="2"/>
      <c r="AA28" s="2"/>
      <c r="AB28" s="2"/>
      <c r="AC28" s="2"/>
      <c r="AD28" s="2">
        <v>9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>
        <v>7</v>
      </c>
      <c r="AQ28" s="2"/>
      <c r="AR28" s="2"/>
      <c r="AS28" s="2"/>
      <c r="AT28" s="2"/>
      <c r="AU28" s="2"/>
      <c r="AV28" s="2">
        <v>4</v>
      </c>
      <c r="AW28" s="2"/>
      <c r="AX28" s="2"/>
      <c r="AY28" s="2"/>
      <c r="AZ28" s="2"/>
      <c r="BA28" s="2"/>
      <c r="BB28" s="2">
        <v>10</v>
      </c>
      <c r="BC28" s="2"/>
      <c r="BD28" s="2"/>
      <c r="BE28" s="2"/>
      <c r="BF28" s="2"/>
      <c r="BG28" s="2"/>
      <c r="BH28" s="2">
        <v>5</v>
      </c>
      <c r="BI28" s="2"/>
      <c r="BJ28" s="2"/>
      <c r="BK28" s="2"/>
      <c r="BL28" s="2"/>
      <c r="BM28" s="2"/>
      <c r="BN28" s="2">
        <v>13</v>
      </c>
      <c r="BO28" s="2"/>
      <c r="BP28" s="2"/>
      <c r="BQ28" s="2"/>
      <c r="BR28" s="2"/>
      <c r="BS28" s="2"/>
      <c r="BT28" s="2">
        <v>27</v>
      </c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>
        <v>23</v>
      </c>
      <c r="CG28" s="2"/>
      <c r="CH28" s="2"/>
      <c r="CI28" s="2"/>
      <c r="CJ28" s="2"/>
      <c r="CK28" s="2"/>
      <c r="CL28" s="2">
        <v>21</v>
      </c>
      <c r="CM28" s="2"/>
      <c r="CN28" s="2"/>
      <c r="CO28" s="2"/>
      <c r="CP28" s="2"/>
      <c r="CQ28" s="2"/>
      <c r="CR28" s="2">
        <v>31</v>
      </c>
      <c r="CS28" s="2"/>
      <c r="CT28" s="2"/>
      <c r="CU28" s="2"/>
      <c r="CV28" s="2"/>
      <c r="CW28" s="2"/>
      <c r="CX28" s="2">
        <v>60</v>
      </c>
      <c r="CY28" s="2"/>
      <c r="CZ28" s="2"/>
      <c r="DA28" s="2"/>
      <c r="DB28" s="2">
        <v>60</v>
      </c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</row>
    <row r="29" spans="1:121" ht="17.25" thickBot="1">
      <c r="A29" s="91" t="s">
        <v>119</v>
      </c>
      <c r="B29" s="93" t="s">
        <v>87</v>
      </c>
      <c r="C29" s="184" t="s">
        <v>171</v>
      </c>
      <c r="D29" s="69" t="s">
        <v>185</v>
      </c>
      <c r="E29" s="2" t="s">
        <v>89</v>
      </c>
      <c r="F29" s="2">
        <v>3</v>
      </c>
      <c r="G29" s="2"/>
      <c r="H29" s="2"/>
      <c r="I29" s="2"/>
      <c r="J29" s="2"/>
      <c r="K29" s="2"/>
      <c r="L29" s="2">
        <v>6</v>
      </c>
      <c r="M29" s="2"/>
      <c r="N29" s="2"/>
      <c r="O29" s="2"/>
      <c r="P29" s="2"/>
      <c r="Q29" s="2"/>
      <c r="R29" s="2">
        <v>6</v>
      </c>
      <c r="S29" s="2"/>
      <c r="T29" s="2"/>
      <c r="U29" s="2"/>
      <c r="V29" s="2"/>
      <c r="W29" s="2"/>
      <c r="X29" s="2">
        <v>4</v>
      </c>
      <c r="Y29" s="2"/>
      <c r="Z29" s="2"/>
      <c r="AA29" s="2"/>
      <c r="AB29" s="2"/>
      <c r="AC29" s="2"/>
      <c r="AD29" s="2">
        <v>11</v>
      </c>
      <c r="AE29" s="2"/>
      <c r="AF29" s="2"/>
      <c r="AG29" s="2"/>
      <c r="AH29" s="2"/>
      <c r="AI29" s="2"/>
      <c r="AJ29" s="2">
        <v>11</v>
      </c>
      <c r="AK29" s="2"/>
      <c r="AL29" s="2"/>
      <c r="AM29" s="2"/>
      <c r="AN29" s="2"/>
      <c r="AO29" s="2"/>
      <c r="AP29" s="2">
        <v>10</v>
      </c>
      <c r="AQ29" s="2"/>
      <c r="AR29" s="2"/>
      <c r="AS29" s="2"/>
      <c r="AT29" s="2"/>
      <c r="AU29" s="2"/>
      <c r="AV29" s="2">
        <v>7</v>
      </c>
      <c r="AW29" s="2"/>
      <c r="AX29" s="2"/>
      <c r="AY29" s="2"/>
      <c r="AZ29" s="2"/>
      <c r="BA29" s="2"/>
      <c r="BB29" s="2">
        <v>13</v>
      </c>
      <c r="BC29" s="2"/>
      <c r="BD29" s="2"/>
      <c r="BE29" s="2"/>
      <c r="BF29" s="2"/>
      <c r="BG29" s="2"/>
      <c r="BH29" s="2">
        <v>3</v>
      </c>
      <c r="BI29" s="2"/>
      <c r="BJ29" s="2"/>
      <c r="BK29" s="2"/>
      <c r="BL29" s="2"/>
      <c r="BM29" s="2"/>
      <c r="BN29" s="2">
        <v>20</v>
      </c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>
        <v>23</v>
      </c>
      <c r="CA29" s="2"/>
      <c r="CB29" s="2"/>
      <c r="CC29" s="2"/>
      <c r="CD29" s="2"/>
      <c r="CE29" s="2"/>
      <c r="CF29" s="2">
        <v>28</v>
      </c>
      <c r="CG29" s="2"/>
      <c r="CH29" s="2"/>
      <c r="CI29" s="2"/>
      <c r="CJ29" s="2"/>
      <c r="CK29" s="2"/>
      <c r="CL29" s="2">
        <v>25</v>
      </c>
      <c r="CM29" s="2"/>
      <c r="CN29" s="2"/>
      <c r="CO29" s="2"/>
      <c r="CP29" s="2"/>
      <c r="CQ29" s="2"/>
      <c r="CR29" s="2">
        <v>37</v>
      </c>
      <c r="CS29" s="2"/>
      <c r="CT29" s="2"/>
      <c r="CU29" s="2"/>
      <c r="CV29" s="2"/>
      <c r="CW29" s="2"/>
      <c r="CX29" s="2">
        <v>60</v>
      </c>
      <c r="CY29" s="2"/>
      <c r="CZ29" s="2"/>
      <c r="DA29" s="2"/>
      <c r="DB29" s="2">
        <v>60</v>
      </c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</row>
    <row r="30" spans="1:121" ht="17.25" thickBot="1">
      <c r="A30" s="89" t="s">
        <v>120</v>
      </c>
      <c r="B30" s="93" t="s">
        <v>87</v>
      </c>
      <c r="C30" s="2" t="s">
        <v>219</v>
      </c>
      <c r="D30" s="69" t="s">
        <v>185</v>
      </c>
      <c r="E30" s="2" t="s">
        <v>89</v>
      </c>
      <c r="F30" s="2">
        <v>5</v>
      </c>
      <c r="G30" s="2"/>
      <c r="H30" s="2"/>
      <c r="I30" s="2"/>
      <c r="J30" s="2"/>
      <c r="K30" s="2"/>
      <c r="L30" s="2">
        <v>5</v>
      </c>
      <c r="M30" s="2"/>
      <c r="N30" s="2"/>
      <c r="O30" s="2"/>
      <c r="P30" s="2"/>
      <c r="Q30" s="2"/>
      <c r="R30" s="2">
        <v>7</v>
      </c>
      <c r="S30" s="2"/>
      <c r="T30" s="2"/>
      <c r="U30" s="2"/>
      <c r="V30" s="2"/>
      <c r="W30" s="2"/>
      <c r="X30" s="2">
        <v>4</v>
      </c>
      <c r="Y30" s="2"/>
      <c r="Z30" s="2"/>
      <c r="AA30" s="2"/>
      <c r="AB30" s="2"/>
      <c r="AC30" s="2"/>
      <c r="AD30" s="2">
        <v>8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>
        <v>5</v>
      </c>
      <c r="AQ30" s="2"/>
      <c r="AR30" s="2"/>
      <c r="AS30" s="2"/>
      <c r="AT30" s="2"/>
      <c r="AU30" s="2"/>
      <c r="AV30" s="2">
        <v>12</v>
      </c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>
        <v>11</v>
      </c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>
        <v>22</v>
      </c>
      <c r="CG30" s="2"/>
      <c r="CH30" s="2"/>
      <c r="CI30" s="2"/>
      <c r="CJ30" s="2"/>
      <c r="CK30" s="2"/>
      <c r="CL30" s="2">
        <v>22</v>
      </c>
      <c r="CM30" s="2"/>
      <c r="CN30" s="2"/>
      <c r="CO30" s="2"/>
      <c r="CP30" s="2"/>
      <c r="CQ30" s="2"/>
      <c r="CR30" s="2">
        <v>19</v>
      </c>
      <c r="CS30" s="2"/>
      <c r="CT30" s="2"/>
      <c r="CU30" s="2"/>
      <c r="CV30" s="2"/>
      <c r="CW30" s="2"/>
      <c r="CX30" s="2">
        <v>60</v>
      </c>
      <c r="CY30" s="2"/>
      <c r="CZ30" s="2"/>
      <c r="DA30" s="2"/>
      <c r="DB30" s="2">
        <v>60</v>
      </c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</row>
    <row r="31" spans="1:121" ht="17.25" thickBot="1">
      <c r="A31" s="89" t="s">
        <v>121</v>
      </c>
      <c r="B31" s="93" t="s">
        <v>87</v>
      </c>
      <c r="C31" s="2" t="s">
        <v>172</v>
      </c>
      <c r="D31" s="69" t="s">
        <v>185</v>
      </c>
      <c r="E31" s="2" t="s">
        <v>89</v>
      </c>
      <c r="F31" s="2">
        <v>5</v>
      </c>
      <c r="G31" s="2"/>
      <c r="H31" s="2"/>
      <c r="I31" s="2"/>
      <c r="J31" s="2"/>
      <c r="K31" s="2"/>
      <c r="L31" s="2">
        <v>6</v>
      </c>
      <c r="M31" s="2"/>
      <c r="N31" s="2"/>
      <c r="O31" s="2"/>
      <c r="P31" s="2"/>
      <c r="Q31" s="2"/>
      <c r="R31" s="2">
        <v>7</v>
      </c>
      <c r="S31" s="2"/>
      <c r="T31" s="2"/>
      <c r="U31" s="2"/>
      <c r="V31" s="2"/>
      <c r="W31" s="2"/>
      <c r="X31" s="2">
        <v>9</v>
      </c>
      <c r="Y31" s="2"/>
      <c r="Z31" s="2"/>
      <c r="AA31" s="2"/>
      <c r="AB31" s="2"/>
      <c r="AC31" s="2"/>
      <c r="AD31" s="2">
        <v>8</v>
      </c>
      <c r="AE31" s="2"/>
      <c r="AF31" s="2"/>
      <c r="AG31" s="2"/>
      <c r="AH31" s="2"/>
      <c r="AI31" s="2"/>
      <c r="AJ31" s="2">
        <v>10</v>
      </c>
      <c r="AK31" s="2"/>
      <c r="AL31" s="2"/>
      <c r="AM31" s="2"/>
      <c r="AN31" s="2"/>
      <c r="AO31" s="2"/>
      <c r="AP31" s="2">
        <v>10</v>
      </c>
      <c r="AQ31" s="2"/>
      <c r="AR31" s="2"/>
      <c r="AS31" s="2"/>
      <c r="AT31" s="2"/>
      <c r="AU31" s="2"/>
      <c r="AV31" s="2">
        <v>8</v>
      </c>
      <c r="AW31" s="2"/>
      <c r="AX31" s="2"/>
      <c r="AY31" s="2"/>
      <c r="AZ31" s="2"/>
      <c r="BA31" s="2"/>
      <c r="BB31" s="2">
        <v>12</v>
      </c>
      <c r="BC31" s="2"/>
      <c r="BD31" s="2"/>
      <c r="BE31" s="2"/>
      <c r="BF31" s="2"/>
      <c r="BG31" s="2"/>
      <c r="BH31" s="2">
        <v>8</v>
      </c>
      <c r="BI31" s="2"/>
      <c r="BJ31" s="2"/>
      <c r="BK31" s="2"/>
      <c r="BL31" s="2"/>
      <c r="BM31" s="2"/>
      <c r="BN31" s="2">
        <v>26</v>
      </c>
      <c r="BO31" s="2"/>
      <c r="BP31" s="2"/>
      <c r="BQ31" s="2"/>
      <c r="BR31" s="2"/>
      <c r="BS31" s="2"/>
      <c r="BT31" s="2">
        <v>26</v>
      </c>
      <c r="BU31" s="2"/>
      <c r="BV31" s="2"/>
      <c r="BW31" s="2"/>
      <c r="BX31" s="2"/>
      <c r="BY31" s="2"/>
      <c r="BZ31" s="2">
        <v>26</v>
      </c>
      <c r="CA31" s="2"/>
      <c r="CB31" s="2"/>
      <c r="CC31" s="2"/>
      <c r="CD31" s="2"/>
      <c r="CE31" s="2"/>
      <c r="CF31" s="2">
        <v>30</v>
      </c>
      <c r="CG31" s="2"/>
      <c r="CH31" s="2"/>
      <c r="CI31" s="2"/>
      <c r="CJ31" s="2"/>
      <c r="CK31" s="2"/>
      <c r="CL31" s="2">
        <v>25</v>
      </c>
      <c r="CM31" s="2"/>
      <c r="CN31" s="2"/>
      <c r="CO31" s="2"/>
      <c r="CP31" s="2"/>
      <c r="CQ31" s="2"/>
      <c r="CR31" s="2">
        <v>15</v>
      </c>
      <c r="CS31" s="2"/>
      <c r="CT31" s="2"/>
      <c r="CU31" s="2"/>
      <c r="CV31" s="2"/>
      <c r="CW31" s="2"/>
      <c r="CX31" s="2">
        <v>60</v>
      </c>
      <c r="CY31" s="2"/>
      <c r="CZ31" s="2"/>
      <c r="DA31" s="2"/>
      <c r="DB31" s="2">
        <v>60</v>
      </c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</row>
    <row r="32" spans="1:121" ht="17.25" thickBot="1">
      <c r="A32" s="91" t="s">
        <v>122</v>
      </c>
      <c r="B32" s="93" t="s">
        <v>87</v>
      </c>
      <c r="C32" s="2" t="s">
        <v>173</v>
      </c>
      <c r="D32" s="69" t="s">
        <v>185</v>
      </c>
      <c r="E32" s="2" t="s">
        <v>89</v>
      </c>
      <c r="F32" s="2">
        <v>3</v>
      </c>
      <c r="G32" s="2"/>
      <c r="H32" s="2"/>
      <c r="I32" s="2"/>
      <c r="J32" s="2"/>
      <c r="K32" s="2"/>
      <c r="L32" s="2">
        <v>3</v>
      </c>
      <c r="M32" s="2"/>
      <c r="N32" s="2"/>
      <c r="O32" s="2"/>
      <c r="P32" s="2"/>
      <c r="Q32" s="2"/>
      <c r="R32" s="2">
        <v>6</v>
      </c>
      <c r="S32" s="2"/>
      <c r="T32" s="2"/>
      <c r="U32" s="2"/>
      <c r="V32" s="2"/>
      <c r="W32" s="2"/>
      <c r="X32" s="2">
        <v>15</v>
      </c>
      <c r="Y32" s="2"/>
      <c r="Z32" s="2"/>
      <c r="AA32" s="2"/>
      <c r="AB32" s="2"/>
      <c r="AC32" s="2"/>
      <c r="AD32" s="2">
        <v>8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>
        <v>10</v>
      </c>
      <c r="AQ32" s="2"/>
      <c r="AR32" s="2"/>
      <c r="AS32" s="2"/>
      <c r="AT32" s="2"/>
      <c r="AU32" s="2"/>
      <c r="AV32" s="2">
        <v>10</v>
      </c>
      <c r="AW32" s="2"/>
      <c r="AX32" s="2"/>
      <c r="AY32" s="2"/>
      <c r="AZ32" s="2"/>
      <c r="BA32" s="2"/>
      <c r="BB32" s="2">
        <v>9</v>
      </c>
      <c r="BC32" s="2"/>
      <c r="BD32" s="2"/>
      <c r="BE32" s="2"/>
      <c r="BF32" s="2"/>
      <c r="BG32" s="2"/>
      <c r="BH32" s="2">
        <v>6</v>
      </c>
      <c r="BI32" s="2"/>
      <c r="BJ32" s="2"/>
      <c r="BK32" s="2"/>
      <c r="BL32" s="2"/>
      <c r="BM32" s="2"/>
      <c r="BN32" s="2">
        <v>16</v>
      </c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>
        <v>32</v>
      </c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>
        <v>21</v>
      </c>
      <c r="CM32" s="2"/>
      <c r="CN32" s="2"/>
      <c r="CO32" s="2"/>
      <c r="CP32" s="2"/>
      <c r="CQ32" s="2"/>
      <c r="CR32" s="2">
        <v>35</v>
      </c>
      <c r="CS32" s="2"/>
      <c r="CT32" s="2"/>
      <c r="CU32" s="2"/>
      <c r="CV32" s="2"/>
      <c r="CW32" s="2"/>
      <c r="CX32" s="2">
        <v>60</v>
      </c>
      <c r="CY32" s="2"/>
      <c r="CZ32" s="2"/>
      <c r="DA32" s="2"/>
      <c r="DB32" s="2">
        <v>60</v>
      </c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</row>
    <row r="33" spans="1:121" ht="17.25" thickBot="1">
      <c r="A33" s="91" t="s">
        <v>123</v>
      </c>
      <c r="B33" s="93" t="s">
        <v>152</v>
      </c>
      <c r="C33" s="184" t="s">
        <v>174</v>
      </c>
      <c r="D33" s="69" t="s">
        <v>185</v>
      </c>
      <c r="E33" s="2" t="s">
        <v>89</v>
      </c>
      <c r="F33" s="2"/>
      <c r="G33" s="2"/>
      <c r="H33" s="2"/>
      <c r="I33" s="2"/>
      <c r="J33" s="2"/>
      <c r="K33" s="2"/>
      <c r="L33" s="2">
        <v>6</v>
      </c>
      <c r="M33" s="2"/>
      <c r="N33" s="2"/>
      <c r="O33" s="2"/>
      <c r="P33" s="2"/>
      <c r="Q33" s="2"/>
      <c r="R33" s="2">
        <v>7</v>
      </c>
      <c r="S33" s="2"/>
      <c r="T33" s="2"/>
      <c r="U33" s="2"/>
      <c r="V33" s="2"/>
      <c r="W33" s="2"/>
      <c r="X33" s="2">
        <v>14</v>
      </c>
      <c r="Y33" s="2"/>
      <c r="Z33" s="2"/>
      <c r="AA33" s="2"/>
      <c r="AB33" s="2"/>
      <c r="AC33" s="2"/>
      <c r="AD33" s="2">
        <v>11</v>
      </c>
      <c r="AE33" s="2"/>
      <c r="AF33" s="2"/>
      <c r="AG33" s="2"/>
      <c r="AH33" s="2"/>
      <c r="AI33" s="2"/>
      <c r="AJ33" s="2">
        <v>11</v>
      </c>
      <c r="AK33" s="2"/>
      <c r="AL33" s="2"/>
      <c r="AM33" s="2"/>
      <c r="AN33" s="2"/>
      <c r="AO33" s="2"/>
      <c r="AP33" s="2">
        <v>10</v>
      </c>
      <c r="AQ33" s="2"/>
      <c r="AR33" s="2"/>
      <c r="AS33" s="2"/>
      <c r="AT33" s="2"/>
      <c r="AU33" s="2"/>
      <c r="AV33" s="2">
        <v>8</v>
      </c>
      <c r="AW33" s="2"/>
      <c r="AX33" s="2"/>
      <c r="AY33" s="2"/>
      <c r="AZ33" s="2"/>
      <c r="BA33" s="2"/>
      <c r="BB33" s="2">
        <v>13</v>
      </c>
      <c r="BC33" s="2"/>
      <c r="BD33" s="2"/>
      <c r="BE33" s="2"/>
      <c r="BF33" s="2"/>
      <c r="BG33" s="2"/>
      <c r="BH33" s="2">
        <v>7</v>
      </c>
      <c r="BI33" s="2"/>
      <c r="BJ33" s="2"/>
      <c r="BK33" s="2"/>
      <c r="BL33" s="2"/>
      <c r="BM33" s="2"/>
      <c r="BN33" s="2">
        <v>17</v>
      </c>
      <c r="BO33" s="2"/>
      <c r="BP33" s="2"/>
      <c r="BQ33" s="2"/>
      <c r="BR33" s="2"/>
      <c r="BS33" s="2"/>
      <c r="BT33" s="2">
        <v>32</v>
      </c>
      <c r="BU33" s="2"/>
      <c r="BV33" s="2"/>
      <c r="BW33" s="2"/>
      <c r="BX33" s="2"/>
      <c r="BY33" s="2"/>
      <c r="BZ33" s="2">
        <v>29</v>
      </c>
      <c r="CA33" s="2"/>
      <c r="CB33" s="2"/>
      <c r="CC33" s="2"/>
      <c r="CD33" s="2"/>
      <c r="CE33" s="2"/>
      <c r="CF33" s="2">
        <v>22</v>
      </c>
      <c r="CG33" s="2"/>
      <c r="CH33" s="2"/>
      <c r="CI33" s="2"/>
      <c r="CJ33" s="2"/>
      <c r="CK33" s="2"/>
      <c r="CL33" s="2">
        <v>29</v>
      </c>
      <c r="CM33" s="2"/>
      <c r="CN33" s="2"/>
      <c r="CO33" s="2"/>
      <c r="CP33" s="2"/>
      <c r="CQ33" s="2"/>
      <c r="CR33" s="2">
        <v>34</v>
      </c>
      <c r="CS33" s="2"/>
      <c r="CT33" s="2"/>
      <c r="CU33" s="2"/>
      <c r="CV33" s="2"/>
      <c r="CW33" s="2"/>
      <c r="CX33" s="2">
        <v>60</v>
      </c>
      <c r="CY33" s="2"/>
      <c r="CZ33" s="2"/>
      <c r="DA33" s="2"/>
      <c r="DB33" s="2">
        <v>60</v>
      </c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</row>
    <row r="34" spans="1:121" ht="17.25" thickBot="1">
      <c r="A34" s="89" t="s">
        <v>124</v>
      </c>
      <c r="B34" s="93" t="s">
        <v>87</v>
      </c>
      <c r="C34" s="2" t="s">
        <v>175</v>
      </c>
      <c r="D34" s="69" t="s">
        <v>185</v>
      </c>
      <c r="E34" s="2" t="s">
        <v>89</v>
      </c>
      <c r="F34" s="2"/>
      <c r="G34" s="2"/>
      <c r="H34" s="2"/>
      <c r="I34" s="2"/>
      <c r="J34" s="2"/>
      <c r="K34" s="2"/>
      <c r="L34" s="2">
        <v>5</v>
      </c>
      <c r="M34" s="2"/>
      <c r="N34" s="2"/>
      <c r="O34" s="2"/>
      <c r="P34" s="2"/>
      <c r="Q34" s="2"/>
      <c r="R34" s="2">
        <v>7</v>
      </c>
      <c r="S34" s="2"/>
      <c r="T34" s="2"/>
      <c r="U34" s="2"/>
      <c r="V34" s="2"/>
      <c r="W34" s="2"/>
      <c r="X34" s="2">
        <v>6</v>
      </c>
      <c r="Y34" s="2"/>
      <c r="Z34" s="2"/>
      <c r="AA34" s="2"/>
      <c r="AB34" s="2"/>
      <c r="AC34" s="2"/>
      <c r="AD34" s="2">
        <v>10</v>
      </c>
      <c r="AE34" s="2"/>
      <c r="AF34" s="2"/>
      <c r="AG34" s="2"/>
      <c r="AH34" s="2"/>
      <c r="AI34" s="2"/>
      <c r="AJ34" s="2">
        <v>10</v>
      </c>
      <c r="AK34" s="2"/>
      <c r="AL34" s="2"/>
      <c r="AM34" s="2"/>
      <c r="AN34" s="2"/>
      <c r="AO34" s="2"/>
      <c r="AP34" s="2">
        <v>10</v>
      </c>
      <c r="AQ34" s="2"/>
      <c r="AR34" s="2"/>
      <c r="AS34" s="2"/>
      <c r="AT34" s="2"/>
      <c r="AU34" s="2"/>
      <c r="AV34" s="2">
        <v>11</v>
      </c>
      <c r="AW34" s="2"/>
      <c r="AX34" s="2"/>
      <c r="AY34" s="2"/>
      <c r="AZ34" s="2"/>
      <c r="BA34" s="2"/>
      <c r="BB34" s="2">
        <v>10</v>
      </c>
      <c r="BC34" s="2"/>
      <c r="BD34" s="2"/>
      <c r="BE34" s="2"/>
      <c r="BF34" s="2"/>
      <c r="BG34" s="2"/>
      <c r="BH34" s="2">
        <v>5</v>
      </c>
      <c r="BI34" s="2"/>
      <c r="BJ34" s="2"/>
      <c r="BK34" s="2"/>
      <c r="BL34" s="2"/>
      <c r="BM34" s="2"/>
      <c r="BN34" s="2">
        <v>16</v>
      </c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>
        <v>29</v>
      </c>
      <c r="CA34" s="2"/>
      <c r="CB34" s="2"/>
      <c r="CC34" s="2"/>
      <c r="CD34" s="2"/>
      <c r="CE34" s="2"/>
      <c r="CF34" s="2">
        <v>25</v>
      </c>
      <c r="CG34" s="2"/>
      <c r="CH34" s="2"/>
      <c r="CI34" s="2"/>
      <c r="CJ34" s="2"/>
      <c r="CK34" s="2"/>
      <c r="CL34" s="2">
        <v>25</v>
      </c>
      <c r="CM34" s="2"/>
      <c r="CN34" s="2"/>
      <c r="CO34" s="2"/>
      <c r="CP34" s="2"/>
      <c r="CQ34" s="2"/>
      <c r="CR34" s="2">
        <v>31</v>
      </c>
      <c r="CS34" s="2"/>
      <c r="CT34" s="2"/>
      <c r="CU34" s="2"/>
      <c r="CV34" s="2"/>
      <c r="CW34" s="2"/>
      <c r="CX34" s="2">
        <v>60</v>
      </c>
      <c r="CY34" s="2"/>
      <c r="CZ34" s="2"/>
      <c r="DA34" s="2"/>
      <c r="DB34" s="2">
        <v>60</v>
      </c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</row>
    <row r="35" spans="1:121" ht="17.25" thickBot="1">
      <c r="A35" s="91" t="s">
        <v>125</v>
      </c>
      <c r="B35" s="93" t="s">
        <v>87</v>
      </c>
      <c r="C35" s="184" t="s">
        <v>203</v>
      </c>
      <c r="D35" s="69" t="s">
        <v>185</v>
      </c>
      <c r="E35" s="2" t="s">
        <v>89</v>
      </c>
      <c r="F35" s="2">
        <v>5</v>
      </c>
      <c r="G35" s="2"/>
      <c r="H35" s="2"/>
      <c r="I35" s="2"/>
      <c r="J35" s="2"/>
      <c r="K35" s="2"/>
      <c r="L35" s="2">
        <v>5</v>
      </c>
      <c r="M35" s="2"/>
      <c r="N35" s="2"/>
      <c r="O35" s="2"/>
      <c r="P35" s="2"/>
      <c r="Q35" s="2"/>
      <c r="R35" s="2">
        <v>7</v>
      </c>
      <c r="S35" s="2"/>
      <c r="T35" s="2"/>
      <c r="U35" s="2"/>
      <c r="V35" s="2"/>
      <c r="W35" s="2"/>
      <c r="X35" s="2">
        <v>12</v>
      </c>
      <c r="Y35" s="2"/>
      <c r="Z35" s="2"/>
      <c r="AA35" s="2"/>
      <c r="AB35" s="2"/>
      <c r="AC35" s="2"/>
      <c r="AD35" s="2">
        <v>9</v>
      </c>
      <c r="AE35" s="2"/>
      <c r="AF35" s="2"/>
      <c r="AG35" s="2"/>
      <c r="AH35" s="2"/>
      <c r="AI35" s="2"/>
      <c r="AJ35" s="2">
        <v>12</v>
      </c>
      <c r="AK35" s="2"/>
      <c r="AL35" s="2"/>
      <c r="AM35" s="2"/>
      <c r="AN35" s="2"/>
      <c r="AO35" s="2"/>
      <c r="AP35" s="2">
        <v>10</v>
      </c>
      <c r="AQ35" s="2"/>
      <c r="AR35" s="2"/>
      <c r="AS35" s="2"/>
      <c r="AT35" s="2"/>
      <c r="AU35" s="2"/>
      <c r="AV35" s="2">
        <v>11</v>
      </c>
      <c r="AW35" s="2"/>
      <c r="AX35" s="2"/>
      <c r="AY35" s="2"/>
      <c r="AZ35" s="2"/>
      <c r="BA35" s="2"/>
      <c r="BB35" s="2">
        <v>13</v>
      </c>
      <c r="BC35" s="2"/>
      <c r="BD35" s="2"/>
      <c r="BE35" s="2"/>
      <c r="BF35" s="2"/>
      <c r="BG35" s="2"/>
      <c r="BH35" s="2">
        <v>7</v>
      </c>
      <c r="BI35" s="2"/>
      <c r="BJ35" s="2"/>
      <c r="BK35" s="2"/>
      <c r="BL35" s="2"/>
      <c r="BM35" s="2"/>
      <c r="BN35" s="2">
        <v>25</v>
      </c>
      <c r="BO35" s="2"/>
      <c r="BP35" s="2"/>
      <c r="BQ35" s="2"/>
      <c r="BR35" s="2"/>
      <c r="BS35" s="2"/>
      <c r="BT35" s="2">
        <v>23</v>
      </c>
      <c r="BU35" s="2"/>
      <c r="BV35" s="2"/>
      <c r="BW35" s="2"/>
      <c r="BX35" s="2"/>
      <c r="BY35" s="2"/>
      <c r="BZ35" s="2">
        <v>26</v>
      </c>
      <c r="CA35" s="2"/>
      <c r="CB35" s="2"/>
      <c r="CC35" s="2"/>
      <c r="CD35" s="2"/>
      <c r="CE35" s="2"/>
      <c r="CF35" s="2">
        <v>22</v>
      </c>
      <c r="CG35" s="2"/>
      <c r="CH35" s="2"/>
      <c r="CI35" s="2"/>
      <c r="CJ35" s="2"/>
      <c r="CK35" s="2"/>
      <c r="CL35" s="2">
        <v>26</v>
      </c>
      <c r="CM35" s="2"/>
      <c r="CN35" s="2"/>
      <c r="CO35" s="2"/>
      <c r="CP35" s="2"/>
      <c r="CQ35" s="2"/>
      <c r="CR35" s="2">
        <v>31</v>
      </c>
      <c r="CS35" s="2"/>
      <c r="CT35" s="2"/>
      <c r="CU35" s="2"/>
      <c r="CV35" s="2"/>
      <c r="CW35" s="2"/>
      <c r="CX35" s="2">
        <v>60</v>
      </c>
      <c r="CY35" s="2"/>
      <c r="CZ35" s="2"/>
      <c r="DA35" s="2"/>
      <c r="DB35" s="2">
        <v>60</v>
      </c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</row>
    <row r="36" spans="1:121" ht="17.25" thickBot="1">
      <c r="A36" s="91" t="s">
        <v>126</v>
      </c>
      <c r="B36" s="185" t="s">
        <v>86</v>
      </c>
      <c r="C36" s="30" t="s">
        <v>176</v>
      </c>
      <c r="D36" s="69" t="s">
        <v>185</v>
      </c>
      <c r="E36" s="2" t="s">
        <v>89</v>
      </c>
      <c r="F36" s="1">
        <v>7</v>
      </c>
      <c r="G36" s="1"/>
      <c r="H36" s="1"/>
      <c r="I36" s="1"/>
      <c r="J36" s="1"/>
      <c r="K36" s="1"/>
      <c r="L36" s="1">
        <v>5</v>
      </c>
      <c r="M36" s="1"/>
      <c r="N36" s="1"/>
      <c r="O36" s="1"/>
      <c r="P36" s="1"/>
      <c r="Q36" s="1"/>
      <c r="R36" s="1">
        <v>8</v>
      </c>
      <c r="S36" s="1"/>
      <c r="T36" s="1"/>
      <c r="U36" s="1"/>
      <c r="V36" s="1"/>
      <c r="W36" s="1"/>
      <c r="X36" s="1">
        <v>15</v>
      </c>
      <c r="Y36" s="1"/>
      <c r="Z36" s="1"/>
      <c r="AA36" s="1"/>
      <c r="AB36" s="1"/>
      <c r="AC36" s="1"/>
      <c r="AD36" s="1">
        <v>11</v>
      </c>
      <c r="AE36" s="1"/>
      <c r="AF36" s="1"/>
      <c r="AG36" s="1"/>
      <c r="AH36" s="1"/>
      <c r="AI36" s="1"/>
      <c r="AJ36" s="1">
        <v>11</v>
      </c>
      <c r="AK36" s="1"/>
      <c r="AL36" s="1"/>
      <c r="AM36" s="1"/>
      <c r="AN36" s="1"/>
      <c r="AO36" s="1"/>
      <c r="AP36" s="1">
        <v>10</v>
      </c>
      <c r="AQ36" s="1"/>
      <c r="AR36" s="1"/>
      <c r="AS36" s="1"/>
      <c r="AT36" s="1"/>
      <c r="AU36" s="1"/>
      <c r="AV36" s="1">
        <v>8</v>
      </c>
      <c r="AW36" s="1"/>
      <c r="AX36" s="1"/>
      <c r="AY36" s="1"/>
      <c r="AZ36" s="1"/>
      <c r="BA36" s="1"/>
      <c r="BB36" s="1">
        <v>12</v>
      </c>
      <c r="BC36" s="1"/>
      <c r="BD36" s="1"/>
      <c r="BE36" s="1"/>
      <c r="BF36" s="1"/>
      <c r="BG36" s="1"/>
      <c r="BH36" s="1">
        <v>14</v>
      </c>
      <c r="BI36" s="1"/>
      <c r="BJ36" s="1"/>
      <c r="BK36" s="1"/>
      <c r="BL36" s="1"/>
      <c r="BM36" s="1"/>
      <c r="BN36" s="1">
        <v>26</v>
      </c>
      <c r="BO36" s="1"/>
      <c r="BP36" s="1"/>
      <c r="BQ36" s="1"/>
      <c r="BR36" s="1"/>
      <c r="BS36" s="1"/>
      <c r="BT36" s="1">
        <v>30</v>
      </c>
      <c r="BU36" s="1"/>
      <c r="BV36" s="1"/>
      <c r="BW36" s="1"/>
      <c r="BX36" s="1"/>
      <c r="BY36" s="1"/>
      <c r="BZ36" s="1">
        <v>26</v>
      </c>
      <c r="CA36" s="1"/>
      <c r="CB36" s="1"/>
      <c r="CC36" s="1"/>
      <c r="CD36" s="1"/>
      <c r="CE36" s="1"/>
      <c r="CF36" s="1">
        <v>26</v>
      </c>
      <c r="CG36" s="1"/>
      <c r="CH36" s="1"/>
      <c r="CI36" s="1"/>
      <c r="CJ36" s="1"/>
      <c r="CK36" s="1"/>
      <c r="CL36" s="1">
        <v>33</v>
      </c>
      <c r="CM36" s="1"/>
      <c r="CN36" s="1"/>
      <c r="CO36" s="1"/>
      <c r="CP36" s="1"/>
      <c r="CQ36" s="1"/>
      <c r="CR36" s="1">
        <v>32</v>
      </c>
      <c r="CS36" s="1"/>
      <c r="CT36" s="1"/>
      <c r="CU36" s="1"/>
      <c r="CV36" s="1"/>
      <c r="CW36" s="1"/>
      <c r="CX36" s="1">
        <v>60</v>
      </c>
      <c r="CY36" s="1"/>
      <c r="CZ36" s="1"/>
      <c r="DA36" s="1"/>
      <c r="DB36" s="1">
        <v>60</v>
      </c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</row>
    <row r="37" spans="1:121" ht="17.25" thickBot="1">
      <c r="A37" s="91" t="s">
        <v>127</v>
      </c>
      <c r="B37" s="185" t="s">
        <v>87</v>
      </c>
      <c r="C37" s="187" t="s">
        <v>177</v>
      </c>
      <c r="D37" s="69" t="s">
        <v>185</v>
      </c>
      <c r="E37" s="2" t="s">
        <v>89</v>
      </c>
      <c r="F37" s="1">
        <v>3</v>
      </c>
      <c r="G37" s="1"/>
      <c r="H37" s="1"/>
      <c r="I37" s="1"/>
      <c r="J37" s="1"/>
      <c r="K37" s="1"/>
      <c r="L37" s="1">
        <v>6</v>
      </c>
      <c r="M37" s="1"/>
      <c r="N37" s="1"/>
      <c r="O37" s="1"/>
      <c r="P37" s="1"/>
      <c r="Q37" s="1"/>
      <c r="R37" s="1">
        <v>7</v>
      </c>
      <c r="S37" s="1"/>
      <c r="T37" s="1"/>
      <c r="U37" s="1"/>
      <c r="V37" s="1"/>
      <c r="W37" s="1"/>
      <c r="X37" s="1">
        <v>10</v>
      </c>
      <c r="Y37" s="1"/>
      <c r="Z37" s="1"/>
      <c r="AA37" s="1"/>
      <c r="AB37" s="1"/>
      <c r="AC37" s="1"/>
      <c r="AD37" s="1">
        <v>8</v>
      </c>
      <c r="AE37" s="1"/>
      <c r="AF37" s="1"/>
      <c r="AG37" s="1"/>
      <c r="AH37" s="1"/>
      <c r="AI37" s="1"/>
      <c r="AJ37" s="1">
        <v>10</v>
      </c>
      <c r="AK37" s="1"/>
      <c r="AL37" s="1"/>
      <c r="AM37" s="1"/>
      <c r="AN37" s="1"/>
      <c r="AO37" s="1"/>
      <c r="AP37" s="1">
        <v>5</v>
      </c>
      <c r="AQ37" s="1"/>
      <c r="AR37" s="1"/>
      <c r="AS37" s="1"/>
      <c r="AT37" s="1"/>
      <c r="AU37" s="1"/>
      <c r="AV37" s="1">
        <v>13</v>
      </c>
      <c r="AW37" s="1"/>
      <c r="AX37" s="1"/>
      <c r="AY37" s="1"/>
      <c r="AZ37" s="1"/>
      <c r="BA37" s="1"/>
      <c r="BB37" s="1">
        <v>8</v>
      </c>
      <c r="BC37" s="1"/>
      <c r="BD37" s="1"/>
      <c r="BE37" s="1"/>
      <c r="BF37" s="1"/>
      <c r="BG37" s="1"/>
      <c r="BH37" s="1">
        <v>13</v>
      </c>
      <c r="BI37" s="1"/>
      <c r="BJ37" s="1"/>
      <c r="BK37" s="1"/>
      <c r="BL37" s="1"/>
      <c r="BM37" s="1"/>
      <c r="BN37" s="1">
        <v>17</v>
      </c>
      <c r="BO37" s="1"/>
      <c r="BP37" s="1"/>
      <c r="BQ37" s="1"/>
      <c r="BR37" s="1"/>
      <c r="BS37" s="1"/>
      <c r="BT37" s="1">
        <v>19</v>
      </c>
      <c r="BU37" s="1"/>
      <c r="BV37" s="1"/>
      <c r="BW37" s="1"/>
      <c r="BX37" s="1"/>
      <c r="BY37" s="1"/>
      <c r="BZ37" s="1">
        <v>23</v>
      </c>
      <c r="CA37" s="1"/>
      <c r="CB37" s="1"/>
      <c r="CC37" s="1"/>
      <c r="CD37" s="1"/>
      <c r="CE37" s="1"/>
      <c r="CF37" s="1">
        <v>20</v>
      </c>
      <c r="CG37" s="1"/>
      <c r="CH37" s="1"/>
      <c r="CI37" s="1"/>
      <c r="CJ37" s="1"/>
      <c r="CK37" s="1"/>
      <c r="CL37" s="1">
        <v>31</v>
      </c>
      <c r="CM37" s="1"/>
      <c r="CN37" s="1"/>
      <c r="CO37" s="1"/>
      <c r="CP37" s="1"/>
      <c r="CQ37" s="1"/>
      <c r="CR37" s="1">
        <v>30</v>
      </c>
      <c r="CS37" s="1"/>
      <c r="CT37" s="1"/>
      <c r="CU37" s="1"/>
      <c r="CV37" s="1"/>
      <c r="CW37" s="1"/>
      <c r="CX37" s="1">
        <v>60</v>
      </c>
      <c r="CY37" s="1"/>
      <c r="CZ37" s="1"/>
      <c r="DA37" s="1"/>
      <c r="DB37" s="1">
        <v>60</v>
      </c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</row>
    <row r="38" spans="1:121" ht="17.25" thickBot="1">
      <c r="A38" s="89" t="s">
        <v>128</v>
      </c>
      <c r="B38" s="185" t="s">
        <v>87</v>
      </c>
      <c r="C38" s="187" t="s">
        <v>178</v>
      </c>
      <c r="D38" s="69" t="s">
        <v>185</v>
      </c>
      <c r="E38" s="2" t="s">
        <v>89</v>
      </c>
      <c r="F38" s="1">
        <v>6</v>
      </c>
      <c r="G38" s="1"/>
      <c r="H38" s="1"/>
      <c r="I38" s="1"/>
      <c r="J38" s="1"/>
      <c r="K38" s="1"/>
      <c r="L38" s="1">
        <v>4</v>
      </c>
      <c r="M38" s="1"/>
      <c r="N38" s="1"/>
      <c r="O38" s="1"/>
      <c r="P38" s="1"/>
      <c r="Q38" s="1"/>
      <c r="R38" s="1">
        <v>7</v>
      </c>
      <c r="S38" s="1"/>
      <c r="T38" s="1"/>
      <c r="U38" s="1"/>
      <c r="V38" s="1"/>
      <c r="W38" s="1"/>
      <c r="X38" s="1">
        <v>12</v>
      </c>
      <c r="Y38" s="1"/>
      <c r="Z38" s="1"/>
      <c r="AA38" s="1"/>
      <c r="AB38" s="1"/>
      <c r="AC38" s="1"/>
      <c r="AD38" s="1">
        <v>9</v>
      </c>
      <c r="AE38" s="1"/>
      <c r="AF38" s="1"/>
      <c r="AG38" s="1"/>
      <c r="AH38" s="1"/>
      <c r="AI38" s="1"/>
      <c r="AJ38" s="1">
        <v>13</v>
      </c>
      <c r="AK38" s="1"/>
      <c r="AL38" s="1"/>
      <c r="AM38" s="1"/>
      <c r="AN38" s="1"/>
      <c r="AO38" s="1"/>
      <c r="AP38" s="1">
        <v>5</v>
      </c>
      <c r="AQ38" s="1"/>
      <c r="AR38" s="1"/>
      <c r="AS38" s="1"/>
      <c r="AT38" s="1"/>
      <c r="AU38" s="1"/>
      <c r="AV38" s="1">
        <v>13</v>
      </c>
      <c r="AW38" s="1"/>
      <c r="AX38" s="1"/>
      <c r="AY38" s="1"/>
      <c r="AZ38" s="1"/>
      <c r="BA38" s="1"/>
      <c r="BB38" s="1">
        <v>13</v>
      </c>
      <c r="BC38" s="1"/>
      <c r="BD38" s="1"/>
      <c r="BE38" s="1"/>
      <c r="BF38" s="1"/>
      <c r="BG38" s="1"/>
      <c r="BH38" s="1">
        <v>5</v>
      </c>
      <c r="BI38" s="1"/>
      <c r="BJ38" s="1"/>
      <c r="BK38" s="1"/>
      <c r="BL38" s="1"/>
      <c r="BM38" s="1"/>
      <c r="BN38" s="1">
        <v>16</v>
      </c>
      <c r="BO38" s="1"/>
      <c r="BP38" s="1"/>
      <c r="BQ38" s="1"/>
      <c r="BR38" s="1"/>
      <c r="BS38" s="1"/>
      <c r="BT38" s="1">
        <v>17</v>
      </c>
      <c r="BU38" s="1"/>
      <c r="BV38" s="1"/>
      <c r="BW38" s="1"/>
      <c r="BX38" s="1"/>
      <c r="BY38" s="1"/>
      <c r="BZ38" s="1">
        <v>20</v>
      </c>
      <c r="CA38" s="1"/>
      <c r="CB38" s="1"/>
      <c r="CC38" s="1"/>
      <c r="CD38" s="1"/>
      <c r="CE38" s="1"/>
      <c r="CF38" s="1">
        <v>26</v>
      </c>
      <c r="CG38" s="1"/>
      <c r="CH38" s="1"/>
      <c r="CI38" s="1"/>
      <c r="CJ38" s="1"/>
      <c r="CK38" s="1"/>
      <c r="CL38" s="1">
        <v>22</v>
      </c>
      <c r="CM38" s="1"/>
      <c r="CN38" s="1"/>
      <c r="CO38" s="1"/>
      <c r="CP38" s="1"/>
      <c r="CQ38" s="1"/>
      <c r="CR38" s="1">
        <v>30</v>
      </c>
      <c r="CS38" s="1"/>
      <c r="CT38" s="1"/>
      <c r="CU38" s="1"/>
      <c r="CV38" s="1"/>
      <c r="CW38" s="1"/>
      <c r="CX38" s="1">
        <v>60</v>
      </c>
      <c r="CY38" s="1"/>
      <c r="CZ38" s="1"/>
      <c r="DA38" s="1"/>
      <c r="DB38" s="1">
        <v>60</v>
      </c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</row>
    <row r="39" spans="1:121" ht="17.25" thickBot="1">
      <c r="A39" s="91" t="s">
        <v>129</v>
      </c>
      <c r="B39" s="185" t="s">
        <v>87</v>
      </c>
      <c r="C39" s="30" t="s">
        <v>179</v>
      </c>
      <c r="D39" s="69" t="s">
        <v>185</v>
      </c>
      <c r="E39" s="2" t="s">
        <v>89</v>
      </c>
      <c r="F39" s="1"/>
      <c r="G39" s="1"/>
      <c r="H39" s="1"/>
      <c r="I39" s="1"/>
      <c r="J39" s="1"/>
      <c r="K39" s="1"/>
      <c r="L39" s="1">
        <v>5</v>
      </c>
      <c r="M39" s="1"/>
      <c r="N39" s="1"/>
      <c r="O39" s="1"/>
      <c r="P39" s="1"/>
      <c r="Q39" s="1"/>
      <c r="R39" s="1">
        <v>7</v>
      </c>
      <c r="S39" s="1"/>
      <c r="T39" s="1"/>
      <c r="U39" s="1"/>
      <c r="V39" s="1"/>
      <c r="W39" s="1"/>
      <c r="X39" s="1">
        <v>11</v>
      </c>
      <c r="Y39" s="1"/>
      <c r="Z39" s="1"/>
      <c r="AA39" s="1"/>
      <c r="AB39" s="1"/>
      <c r="AC39" s="1"/>
      <c r="AD39" s="1">
        <v>12</v>
      </c>
      <c r="AE39" s="1"/>
      <c r="AF39" s="1"/>
      <c r="AG39" s="1"/>
      <c r="AH39" s="1"/>
      <c r="AI39" s="1"/>
      <c r="AJ39" s="1">
        <v>12</v>
      </c>
      <c r="AK39" s="1"/>
      <c r="AL39" s="1"/>
      <c r="AM39" s="1"/>
      <c r="AN39" s="1"/>
      <c r="AO39" s="1"/>
      <c r="AP39" s="1">
        <v>10</v>
      </c>
      <c r="AQ39" s="1"/>
      <c r="AR39" s="1"/>
      <c r="AS39" s="1"/>
      <c r="AT39" s="1"/>
      <c r="AU39" s="1"/>
      <c r="AV39" s="1">
        <v>3</v>
      </c>
      <c r="AW39" s="1"/>
      <c r="AX39" s="1"/>
      <c r="AY39" s="1"/>
      <c r="AZ39" s="1"/>
      <c r="BA39" s="1"/>
      <c r="BB39" s="1">
        <v>12</v>
      </c>
      <c r="BC39" s="1"/>
      <c r="BD39" s="1"/>
      <c r="BE39" s="1"/>
      <c r="BF39" s="1"/>
      <c r="BG39" s="1"/>
      <c r="BH39" s="1">
        <v>5</v>
      </c>
      <c r="BI39" s="1"/>
      <c r="BJ39" s="1"/>
      <c r="BK39" s="1"/>
      <c r="BL39" s="1"/>
      <c r="BM39" s="1"/>
      <c r="BN39" s="1">
        <v>16</v>
      </c>
      <c r="BO39" s="1"/>
      <c r="BP39" s="1"/>
      <c r="BQ39" s="1"/>
      <c r="BR39" s="1"/>
      <c r="BS39" s="1"/>
      <c r="BT39" s="1">
        <v>24</v>
      </c>
      <c r="BU39" s="1"/>
      <c r="BV39" s="1"/>
      <c r="BW39" s="1"/>
      <c r="BX39" s="1"/>
      <c r="BY39" s="1"/>
      <c r="BZ39" s="1">
        <v>19</v>
      </c>
      <c r="CA39" s="1"/>
      <c r="CB39" s="1"/>
      <c r="CC39" s="1"/>
      <c r="CD39" s="1"/>
      <c r="CE39" s="1"/>
      <c r="CF39" s="1">
        <v>22</v>
      </c>
      <c r="CG39" s="1"/>
      <c r="CH39" s="1"/>
      <c r="CI39" s="1"/>
      <c r="CJ39" s="1"/>
      <c r="CK39" s="1"/>
      <c r="CL39" s="1">
        <v>21</v>
      </c>
      <c r="CM39" s="1"/>
      <c r="CN39" s="1"/>
      <c r="CO39" s="1"/>
      <c r="CP39" s="1"/>
      <c r="CQ39" s="1"/>
      <c r="CR39" s="1">
        <v>30</v>
      </c>
      <c r="CS39" s="1"/>
      <c r="CT39" s="1"/>
      <c r="CU39" s="1"/>
      <c r="CV39" s="1"/>
      <c r="CW39" s="1"/>
      <c r="CX39" s="1">
        <v>60</v>
      </c>
      <c r="CY39" s="1"/>
      <c r="CZ39" s="1"/>
      <c r="DA39" s="1"/>
      <c r="DB39" s="1">
        <v>60</v>
      </c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</row>
    <row r="40" spans="1:121" ht="17.25" thickBot="1">
      <c r="A40" s="91" t="s">
        <v>130</v>
      </c>
      <c r="B40" s="185" t="s">
        <v>87</v>
      </c>
      <c r="C40" s="30" t="s">
        <v>180</v>
      </c>
      <c r="D40" s="69" t="s">
        <v>185</v>
      </c>
      <c r="E40" s="2" t="s">
        <v>89</v>
      </c>
      <c r="F40" s="1">
        <v>5</v>
      </c>
      <c r="G40" s="1"/>
      <c r="H40" s="1"/>
      <c r="I40" s="1"/>
      <c r="J40" s="1"/>
      <c r="K40" s="1"/>
      <c r="L40" s="1">
        <v>5</v>
      </c>
      <c r="M40" s="1"/>
      <c r="N40" s="1"/>
      <c r="O40" s="1"/>
      <c r="P40" s="1"/>
      <c r="Q40" s="1"/>
      <c r="R40" s="1">
        <v>7</v>
      </c>
      <c r="S40" s="1"/>
      <c r="T40" s="1"/>
      <c r="U40" s="1"/>
      <c r="V40" s="1"/>
      <c r="W40" s="1"/>
      <c r="X40" s="1">
        <v>17</v>
      </c>
      <c r="Y40" s="1"/>
      <c r="Z40" s="1"/>
      <c r="AA40" s="1"/>
      <c r="AB40" s="1"/>
      <c r="AC40" s="1"/>
      <c r="AD40" s="1">
        <v>11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>
        <v>5</v>
      </c>
      <c r="AQ40" s="1"/>
      <c r="AR40" s="1"/>
      <c r="AS40" s="1"/>
      <c r="AT40" s="1"/>
      <c r="AU40" s="1"/>
      <c r="AV40" s="1">
        <v>5</v>
      </c>
      <c r="AW40" s="1"/>
      <c r="AX40" s="1"/>
      <c r="AY40" s="1"/>
      <c r="AZ40" s="1"/>
      <c r="BA40" s="1"/>
      <c r="BB40" s="1">
        <v>12</v>
      </c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>
        <v>26</v>
      </c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>
        <v>28</v>
      </c>
      <c r="CG40" s="1"/>
      <c r="CH40" s="1"/>
      <c r="CI40" s="1"/>
      <c r="CJ40" s="1"/>
      <c r="CK40" s="1"/>
      <c r="CL40" s="1">
        <v>35</v>
      </c>
      <c r="CM40" s="1"/>
      <c r="CN40" s="1"/>
      <c r="CO40" s="1"/>
      <c r="CP40" s="1"/>
      <c r="CQ40" s="1"/>
      <c r="CR40" s="1">
        <v>32</v>
      </c>
      <c r="CS40" s="1"/>
      <c r="CT40" s="1"/>
      <c r="CU40" s="1"/>
      <c r="CV40" s="1"/>
      <c r="CW40" s="1"/>
      <c r="CX40" s="1">
        <v>60</v>
      </c>
      <c r="CY40" s="1"/>
      <c r="CZ40" s="1"/>
      <c r="DA40" s="1"/>
      <c r="DB40" s="1">
        <v>60</v>
      </c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</row>
    <row r="41" spans="1:121" ht="17.25" thickBot="1">
      <c r="A41" s="89" t="s">
        <v>131</v>
      </c>
      <c r="B41" s="185" t="s">
        <v>87</v>
      </c>
      <c r="C41" s="30" t="s">
        <v>181</v>
      </c>
      <c r="D41" s="69" t="s">
        <v>185</v>
      </c>
      <c r="E41" s="2" t="s">
        <v>89</v>
      </c>
      <c r="F41" s="1">
        <v>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>
        <v>6</v>
      </c>
      <c r="S41" s="1"/>
      <c r="T41" s="1"/>
      <c r="U41" s="1"/>
      <c r="V41" s="1"/>
      <c r="W41" s="1"/>
      <c r="X41" s="1">
        <v>4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>
        <v>4</v>
      </c>
      <c r="AQ41" s="1"/>
      <c r="AR41" s="1"/>
      <c r="AS41" s="1"/>
      <c r="AT41" s="1"/>
      <c r="AU41" s="1"/>
      <c r="AV41" s="1">
        <v>15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>
        <v>60</v>
      </c>
      <c r="CY41" s="1"/>
      <c r="CZ41" s="1"/>
      <c r="DA41" s="1"/>
      <c r="DB41" s="1">
        <v>60</v>
      </c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</row>
    <row r="42" spans="1:121" ht="17.25" thickBot="1">
      <c r="A42" s="89" t="s">
        <v>132</v>
      </c>
      <c r="B42" s="185" t="s">
        <v>87</v>
      </c>
      <c r="C42" s="30" t="s">
        <v>204</v>
      </c>
      <c r="D42" s="69" t="s">
        <v>185</v>
      </c>
      <c r="E42" s="2" t="s">
        <v>89</v>
      </c>
      <c r="F42" s="1"/>
      <c r="G42" s="1"/>
      <c r="H42" s="1"/>
      <c r="I42" s="1"/>
      <c r="J42" s="1"/>
      <c r="K42" s="1"/>
      <c r="L42" s="1">
        <v>6</v>
      </c>
      <c r="M42" s="1"/>
      <c r="N42" s="1"/>
      <c r="O42" s="1"/>
      <c r="P42" s="1"/>
      <c r="Q42" s="1"/>
      <c r="R42" s="1">
        <v>7</v>
      </c>
      <c r="S42" s="1"/>
      <c r="T42" s="1"/>
      <c r="U42" s="1"/>
      <c r="V42" s="1"/>
      <c r="W42" s="1"/>
      <c r="X42" s="1">
        <v>15</v>
      </c>
      <c r="Y42" s="1"/>
      <c r="Z42" s="1"/>
      <c r="AA42" s="1"/>
      <c r="AB42" s="1"/>
      <c r="AC42" s="1"/>
      <c r="AD42" s="1">
        <v>11</v>
      </c>
      <c r="AE42" s="1"/>
      <c r="AF42" s="1"/>
      <c r="AG42" s="1"/>
      <c r="AH42" s="1"/>
      <c r="AI42" s="1"/>
      <c r="AJ42" s="1">
        <v>13</v>
      </c>
      <c r="AK42" s="1"/>
      <c r="AL42" s="1"/>
      <c r="AM42" s="1"/>
      <c r="AN42" s="1"/>
      <c r="AO42" s="1"/>
      <c r="AP42" s="1">
        <v>10</v>
      </c>
      <c r="AQ42" s="1"/>
      <c r="AR42" s="1"/>
      <c r="AS42" s="1"/>
      <c r="AT42" s="1"/>
      <c r="AU42" s="1"/>
      <c r="AV42" s="1">
        <v>8</v>
      </c>
      <c r="AW42" s="1"/>
      <c r="AX42" s="1"/>
      <c r="AY42" s="1"/>
      <c r="AZ42" s="1"/>
      <c r="BA42" s="1"/>
      <c r="BB42" s="1">
        <v>11</v>
      </c>
      <c r="BC42" s="1"/>
      <c r="BD42" s="1"/>
      <c r="BE42" s="1"/>
      <c r="BF42" s="1"/>
      <c r="BG42" s="1"/>
      <c r="BH42" s="1">
        <v>5</v>
      </c>
      <c r="BI42" s="1"/>
      <c r="BJ42" s="1"/>
      <c r="BK42" s="1"/>
      <c r="BL42" s="1"/>
      <c r="BM42" s="1"/>
      <c r="BN42" s="1">
        <v>23</v>
      </c>
      <c r="BO42" s="1"/>
      <c r="BP42" s="1"/>
      <c r="BQ42" s="1"/>
      <c r="BR42" s="1"/>
      <c r="BS42" s="1"/>
      <c r="BT42" s="1">
        <v>26</v>
      </c>
      <c r="BU42" s="1"/>
      <c r="BV42" s="1"/>
      <c r="BW42" s="1"/>
      <c r="BX42" s="1"/>
      <c r="BY42" s="1"/>
      <c r="BZ42" s="1">
        <v>20</v>
      </c>
      <c r="CA42" s="1"/>
      <c r="CB42" s="1"/>
      <c r="CC42" s="1"/>
      <c r="CD42" s="1"/>
      <c r="CE42" s="1"/>
      <c r="CF42" s="1">
        <v>26</v>
      </c>
      <c r="CG42" s="1"/>
      <c r="CH42" s="1"/>
      <c r="CI42" s="1"/>
      <c r="CJ42" s="1"/>
      <c r="CK42" s="1"/>
      <c r="CL42" s="1">
        <v>25</v>
      </c>
      <c r="CM42" s="1"/>
      <c r="CN42" s="1"/>
      <c r="CO42" s="1"/>
      <c r="CP42" s="1"/>
      <c r="CQ42" s="1"/>
      <c r="CR42" s="1">
        <v>31</v>
      </c>
      <c r="CS42" s="1"/>
      <c r="CT42" s="1"/>
      <c r="CU42" s="1"/>
      <c r="CV42" s="1"/>
      <c r="CW42" s="1"/>
      <c r="CX42" s="1">
        <v>60</v>
      </c>
      <c r="CY42" s="1"/>
      <c r="CZ42" s="1"/>
      <c r="DA42" s="1"/>
      <c r="DB42" s="1">
        <v>60</v>
      </c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</row>
    <row r="43" spans="1:121" ht="17.25" thickBot="1">
      <c r="A43" s="89" t="s">
        <v>133</v>
      </c>
      <c r="B43" s="185" t="s">
        <v>87</v>
      </c>
      <c r="C43" s="30" t="s">
        <v>201</v>
      </c>
      <c r="D43" s="69" t="s">
        <v>185</v>
      </c>
      <c r="E43" s="2" t="s">
        <v>89</v>
      </c>
      <c r="F43" s="1">
        <v>3</v>
      </c>
      <c r="G43" s="1"/>
      <c r="H43" s="1"/>
      <c r="I43" s="1"/>
      <c r="J43" s="1"/>
      <c r="K43" s="1"/>
      <c r="L43" s="1">
        <v>5</v>
      </c>
      <c r="M43" s="1"/>
      <c r="N43" s="1"/>
      <c r="O43" s="1"/>
      <c r="P43" s="1"/>
      <c r="Q43" s="1"/>
      <c r="R43" s="1">
        <v>7</v>
      </c>
      <c r="S43" s="1"/>
      <c r="T43" s="1"/>
      <c r="U43" s="1"/>
      <c r="V43" s="1"/>
      <c r="W43" s="1"/>
      <c r="X43" s="1">
        <v>9</v>
      </c>
      <c r="Y43" s="1"/>
      <c r="Z43" s="1"/>
      <c r="AA43" s="1"/>
      <c r="AB43" s="1"/>
      <c r="AC43" s="1"/>
      <c r="AD43" s="1">
        <v>10</v>
      </c>
      <c r="AE43" s="1"/>
      <c r="AF43" s="1"/>
      <c r="AG43" s="1"/>
      <c r="AH43" s="1"/>
      <c r="AI43" s="1"/>
      <c r="AJ43" s="1">
        <v>8</v>
      </c>
      <c r="AK43" s="1"/>
      <c r="AL43" s="1"/>
      <c r="AM43" s="1"/>
      <c r="AN43" s="1"/>
      <c r="AO43" s="1"/>
      <c r="AP43" s="1">
        <v>6</v>
      </c>
      <c r="AQ43" s="1"/>
      <c r="AR43" s="1"/>
      <c r="AS43" s="1"/>
      <c r="AT43" s="1"/>
      <c r="AU43" s="1"/>
      <c r="AV43" s="1">
        <v>12</v>
      </c>
      <c r="AW43" s="1"/>
      <c r="AX43" s="1"/>
      <c r="AY43" s="1"/>
      <c r="AZ43" s="1"/>
      <c r="BA43" s="1"/>
      <c r="BB43" s="1">
        <v>11</v>
      </c>
      <c r="BC43" s="1"/>
      <c r="BD43" s="1"/>
      <c r="BE43" s="1"/>
      <c r="BF43" s="1"/>
      <c r="BG43" s="1"/>
      <c r="BH43" s="1">
        <v>8</v>
      </c>
      <c r="BI43" s="1"/>
      <c r="BJ43" s="1"/>
      <c r="BK43" s="1"/>
      <c r="BL43" s="1"/>
      <c r="BM43" s="1"/>
      <c r="BN43" s="1">
        <v>19</v>
      </c>
      <c r="BO43" s="1"/>
      <c r="BP43" s="1"/>
      <c r="BQ43" s="1"/>
      <c r="BR43" s="1"/>
      <c r="BS43" s="1"/>
      <c r="BT43" s="1">
        <v>14</v>
      </c>
      <c r="BU43" s="1"/>
      <c r="BV43" s="1"/>
      <c r="BW43" s="1"/>
      <c r="BX43" s="1"/>
      <c r="BY43" s="1"/>
      <c r="BZ43" s="1">
        <v>23</v>
      </c>
      <c r="CA43" s="1"/>
      <c r="CB43" s="1"/>
      <c r="CC43" s="1"/>
      <c r="CD43" s="1"/>
      <c r="CE43" s="1"/>
      <c r="CF43" s="1">
        <v>18</v>
      </c>
      <c r="CG43" s="1"/>
      <c r="CH43" s="1"/>
      <c r="CI43" s="1"/>
      <c r="CJ43" s="1"/>
      <c r="CK43" s="1"/>
      <c r="CL43" s="1">
        <v>25</v>
      </c>
      <c r="CM43" s="1"/>
      <c r="CN43" s="1"/>
      <c r="CO43" s="1"/>
      <c r="CP43" s="1"/>
      <c r="CQ43" s="1"/>
      <c r="CR43" s="1">
        <v>29</v>
      </c>
      <c r="CS43" s="1"/>
      <c r="CT43" s="1"/>
      <c r="CU43" s="1"/>
      <c r="CV43" s="1"/>
      <c r="CW43" s="1"/>
      <c r="CX43" s="1">
        <v>60</v>
      </c>
      <c r="CY43" s="1"/>
      <c r="CZ43" s="1"/>
      <c r="DA43" s="1"/>
      <c r="DB43" s="1">
        <v>60</v>
      </c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</row>
    <row r="44" spans="1:121" ht="17.25" thickBot="1">
      <c r="A44" s="91" t="s">
        <v>134</v>
      </c>
      <c r="B44" s="185" t="s">
        <v>87</v>
      </c>
      <c r="C44" s="30" t="s">
        <v>202</v>
      </c>
      <c r="D44" s="69" t="s">
        <v>185</v>
      </c>
      <c r="E44" s="2" t="s">
        <v>89</v>
      </c>
      <c r="F44" s="1">
        <v>6</v>
      </c>
      <c r="G44" s="1"/>
      <c r="H44" s="1"/>
      <c r="I44" s="1"/>
      <c r="J44" s="1"/>
      <c r="K44" s="1"/>
      <c r="L44" s="1">
        <v>4</v>
      </c>
      <c r="M44" s="1"/>
      <c r="N44" s="1"/>
      <c r="O44" s="1"/>
      <c r="P44" s="1"/>
      <c r="Q44" s="1"/>
      <c r="R44" s="1">
        <v>7</v>
      </c>
      <c r="S44" s="1"/>
      <c r="T44" s="1"/>
      <c r="U44" s="1"/>
      <c r="V44" s="1"/>
      <c r="W44" s="1"/>
      <c r="X44" s="1">
        <v>8</v>
      </c>
      <c r="Y44" s="1"/>
      <c r="Z44" s="1"/>
      <c r="AA44" s="1"/>
      <c r="AB44" s="1"/>
      <c r="AC44" s="1"/>
      <c r="AD44" s="1">
        <v>11</v>
      </c>
      <c r="AE44" s="1"/>
      <c r="AF44" s="1"/>
      <c r="AG44" s="1"/>
      <c r="AH44" s="1"/>
      <c r="AI44" s="1"/>
      <c r="AJ44" s="1">
        <v>10</v>
      </c>
      <c r="AK44" s="1"/>
      <c r="AL44" s="1"/>
      <c r="AM44" s="1"/>
      <c r="AN44" s="1"/>
      <c r="AO44" s="1"/>
      <c r="AP44" s="1">
        <v>5</v>
      </c>
      <c r="AQ44" s="1"/>
      <c r="AR44" s="1"/>
      <c r="AS44" s="1"/>
      <c r="AT44" s="1"/>
      <c r="AU44" s="1"/>
      <c r="AV44" s="1">
        <v>14</v>
      </c>
      <c r="AW44" s="1"/>
      <c r="AX44" s="1"/>
      <c r="AY44" s="1"/>
      <c r="AZ44" s="1"/>
      <c r="BA44" s="1"/>
      <c r="BB44" s="1">
        <v>9</v>
      </c>
      <c r="BC44" s="1"/>
      <c r="BD44" s="1"/>
      <c r="BE44" s="1"/>
      <c r="BF44" s="1"/>
      <c r="BG44" s="1"/>
      <c r="BH44" s="1">
        <v>3</v>
      </c>
      <c r="BI44" s="1"/>
      <c r="BJ44" s="1"/>
      <c r="BK44" s="1"/>
      <c r="BL44" s="1"/>
      <c r="BM44" s="1"/>
      <c r="BN44" s="1">
        <v>13</v>
      </c>
      <c r="BO44" s="1"/>
      <c r="BP44" s="1"/>
      <c r="BQ44" s="1"/>
      <c r="BR44" s="1"/>
      <c r="BS44" s="1"/>
      <c r="BT44" s="1">
        <v>33</v>
      </c>
      <c r="BU44" s="1"/>
      <c r="BV44" s="1"/>
      <c r="BW44" s="1"/>
      <c r="BX44" s="1"/>
      <c r="BY44" s="1"/>
      <c r="BZ44" s="1">
        <v>24</v>
      </c>
      <c r="CA44" s="1"/>
      <c r="CB44" s="1"/>
      <c r="CC44" s="1"/>
      <c r="CD44" s="1"/>
      <c r="CE44" s="1"/>
      <c r="CF44" s="1">
        <v>24</v>
      </c>
      <c r="CG44" s="1"/>
      <c r="CH44" s="1"/>
      <c r="CI44" s="1"/>
      <c r="CJ44" s="1"/>
      <c r="CK44" s="1"/>
      <c r="CL44" s="1">
        <v>20</v>
      </c>
      <c r="CM44" s="1"/>
      <c r="CN44" s="1"/>
      <c r="CO44" s="1"/>
      <c r="CP44" s="1"/>
      <c r="CQ44" s="1"/>
      <c r="CR44" s="1">
        <v>37</v>
      </c>
      <c r="CS44" s="1"/>
      <c r="CT44" s="1"/>
      <c r="CU44" s="1"/>
      <c r="CV44" s="1"/>
      <c r="CW44" s="1"/>
      <c r="CX44" s="1">
        <v>60</v>
      </c>
      <c r="CY44" s="1"/>
      <c r="CZ44" s="1"/>
      <c r="DA44" s="1"/>
      <c r="DB44" s="1">
        <v>60</v>
      </c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</row>
    <row r="45" spans="1:121" ht="17.25" thickBot="1">
      <c r="A45" s="91" t="s">
        <v>135</v>
      </c>
      <c r="B45" s="185" t="s">
        <v>87</v>
      </c>
      <c r="C45" s="30" t="s">
        <v>182</v>
      </c>
      <c r="D45" s="69" t="s">
        <v>185</v>
      </c>
      <c r="E45" s="2" t="s">
        <v>89</v>
      </c>
      <c r="F45" s="1"/>
      <c r="G45" s="1"/>
      <c r="H45" s="1"/>
      <c r="I45" s="1"/>
      <c r="J45" s="1"/>
      <c r="K45" s="1"/>
      <c r="L45" s="1">
        <v>6</v>
      </c>
      <c r="M45" s="1"/>
      <c r="N45" s="1"/>
      <c r="O45" s="1"/>
      <c r="P45" s="1"/>
      <c r="Q45" s="1"/>
      <c r="R45" s="1">
        <v>7</v>
      </c>
      <c r="S45" s="1"/>
      <c r="T45" s="1"/>
      <c r="U45" s="1"/>
      <c r="V45" s="1"/>
      <c r="W45" s="1"/>
      <c r="X45" s="1">
        <v>15</v>
      </c>
      <c r="Y45" s="1"/>
      <c r="Z45" s="1"/>
      <c r="AA45" s="1"/>
      <c r="AB45" s="1"/>
      <c r="AC45" s="1"/>
      <c r="AD45" s="1">
        <v>14</v>
      </c>
      <c r="AE45" s="1"/>
      <c r="AF45" s="1"/>
      <c r="AG45" s="1"/>
      <c r="AH45" s="1"/>
      <c r="AI45" s="1"/>
      <c r="AJ45" s="1">
        <v>12</v>
      </c>
      <c r="AK45" s="1"/>
      <c r="AL45" s="1"/>
      <c r="AM45" s="1"/>
      <c r="AN45" s="1"/>
      <c r="AO45" s="1"/>
      <c r="AP45" s="1">
        <v>5</v>
      </c>
      <c r="AQ45" s="1"/>
      <c r="AR45" s="1"/>
      <c r="AS45" s="1"/>
      <c r="AT45" s="1"/>
      <c r="AU45" s="1"/>
      <c r="AV45" s="1">
        <v>11</v>
      </c>
      <c r="AW45" s="1"/>
      <c r="AX45" s="1"/>
      <c r="AY45" s="1"/>
      <c r="AZ45" s="1"/>
      <c r="BA45" s="1"/>
      <c r="BB45" s="1">
        <v>10</v>
      </c>
      <c r="BC45" s="1"/>
      <c r="BD45" s="1"/>
      <c r="BE45" s="1"/>
      <c r="BF45" s="1"/>
      <c r="BG45" s="1"/>
      <c r="BH45" s="1">
        <v>10</v>
      </c>
      <c r="BI45" s="1"/>
      <c r="BJ45" s="1"/>
      <c r="BK45" s="1"/>
      <c r="BL45" s="1"/>
      <c r="BM45" s="1"/>
      <c r="BN45" s="1">
        <v>22</v>
      </c>
      <c r="BO45" s="1"/>
      <c r="BP45" s="1"/>
      <c r="BQ45" s="1"/>
      <c r="BR45" s="1"/>
      <c r="BS45" s="1"/>
      <c r="BT45" s="1">
        <v>29</v>
      </c>
      <c r="BU45" s="1"/>
      <c r="BV45" s="1"/>
      <c r="BW45" s="1"/>
      <c r="BX45" s="1"/>
      <c r="BY45" s="1"/>
      <c r="BZ45" s="1">
        <v>31</v>
      </c>
      <c r="CA45" s="1"/>
      <c r="CB45" s="1"/>
      <c r="CC45" s="1"/>
      <c r="CD45" s="1"/>
      <c r="CE45" s="1"/>
      <c r="CF45" s="1">
        <v>20</v>
      </c>
      <c r="CG45" s="1"/>
      <c r="CH45" s="1"/>
      <c r="CI45" s="1"/>
      <c r="CJ45" s="1"/>
      <c r="CK45" s="1"/>
      <c r="CL45" s="1">
        <v>23</v>
      </c>
      <c r="CM45" s="1"/>
      <c r="CN45" s="1"/>
      <c r="CO45" s="1"/>
      <c r="CP45" s="1"/>
      <c r="CQ45" s="1"/>
      <c r="CR45" s="1">
        <v>25</v>
      </c>
      <c r="CS45" s="1"/>
      <c r="CT45" s="1"/>
      <c r="CU45" s="1"/>
      <c r="CV45" s="1"/>
      <c r="CW45" s="1"/>
      <c r="CX45" s="1">
        <v>60</v>
      </c>
      <c r="CY45" s="1"/>
      <c r="CZ45" s="1"/>
      <c r="DA45" s="1"/>
      <c r="DB45" s="1">
        <v>60</v>
      </c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</row>
    <row r="46" spans="1:121" ht="17.25" thickBot="1">
      <c r="A46" s="91" t="s">
        <v>136</v>
      </c>
      <c r="B46" s="185" t="s">
        <v>87</v>
      </c>
      <c r="C46" s="30" t="s">
        <v>200</v>
      </c>
      <c r="D46" s="69" t="s">
        <v>185</v>
      </c>
      <c r="E46" s="2" t="s">
        <v>89</v>
      </c>
      <c r="F46" s="1">
        <v>3</v>
      </c>
      <c r="G46" s="1"/>
      <c r="H46" s="1"/>
      <c r="I46" s="1"/>
      <c r="J46" s="1"/>
      <c r="K46" s="1"/>
      <c r="L46" s="1">
        <v>6</v>
      </c>
      <c r="M46" s="1"/>
      <c r="N46" s="1"/>
      <c r="O46" s="1"/>
      <c r="P46" s="1"/>
      <c r="Q46" s="1"/>
      <c r="R46" s="1">
        <v>7</v>
      </c>
      <c r="S46" s="1"/>
      <c r="T46" s="1"/>
      <c r="U46" s="1"/>
      <c r="V46" s="1"/>
      <c r="W46" s="1"/>
      <c r="X46" s="1">
        <v>8</v>
      </c>
      <c r="Y46" s="1"/>
      <c r="Z46" s="1"/>
      <c r="AA46" s="1"/>
      <c r="AB46" s="1"/>
      <c r="AC46" s="1"/>
      <c r="AD46" s="1">
        <v>12</v>
      </c>
      <c r="AE46" s="1"/>
      <c r="AF46" s="1"/>
      <c r="AG46" s="1"/>
      <c r="AH46" s="1"/>
      <c r="AI46" s="1"/>
      <c r="AJ46" s="1">
        <v>8</v>
      </c>
      <c r="AK46" s="1"/>
      <c r="AL46" s="1"/>
      <c r="AM46" s="1"/>
      <c r="AN46" s="1"/>
      <c r="AO46" s="1"/>
      <c r="AP46" s="1">
        <v>10</v>
      </c>
      <c r="AQ46" s="1"/>
      <c r="AR46" s="1"/>
      <c r="AS46" s="1"/>
      <c r="AT46" s="1"/>
      <c r="AU46" s="1"/>
      <c r="AV46" s="1">
        <v>6</v>
      </c>
      <c r="AW46" s="1"/>
      <c r="AX46" s="1"/>
      <c r="AY46" s="1"/>
      <c r="AZ46" s="1"/>
      <c r="BA46" s="1"/>
      <c r="BB46" s="1">
        <v>11</v>
      </c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>
        <v>22</v>
      </c>
      <c r="BO46" s="1"/>
      <c r="BP46" s="1"/>
      <c r="BQ46" s="1"/>
      <c r="BR46" s="1"/>
      <c r="BS46" s="1"/>
      <c r="BT46" s="1">
        <v>20</v>
      </c>
      <c r="BU46" s="1"/>
      <c r="BV46" s="1"/>
      <c r="BW46" s="1"/>
      <c r="BX46" s="1"/>
      <c r="BY46" s="1"/>
      <c r="BZ46" s="1">
        <v>23</v>
      </c>
      <c r="CA46" s="1"/>
      <c r="CB46" s="1"/>
      <c r="CC46" s="1"/>
      <c r="CD46" s="1"/>
      <c r="CE46" s="1"/>
      <c r="CF46" s="1">
        <v>24</v>
      </c>
      <c r="CG46" s="1"/>
      <c r="CH46" s="1"/>
      <c r="CI46" s="1"/>
      <c r="CJ46" s="1"/>
      <c r="CK46" s="1"/>
      <c r="CL46" s="1">
        <v>28</v>
      </c>
      <c r="CM46" s="1"/>
      <c r="CN46" s="1"/>
      <c r="CO46" s="1"/>
      <c r="CP46" s="1"/>
      <c r="CQ46" s="1"/>
      <c r="CR46" s="1">
        <v>42</v>
      </c>
      <c r="CS46" s="1"/>
      <c r="CT46" s="1"/>
      <c r="CU46" s="1"/>
      <c r="CV46" s="1"/>
      <c r="CW46" s="1"/>
      <c r="CX46" s="1">
        <v>60</v>
      </c>
      <c r="CY46" s="1"/>
      <c r="CZ46" s="1"/>
      <c r="DA46" s="1"/>
      <c r="DB46" s="1">
        <v>60</v>
      </c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</row>
    <row r="47" spans="1:121" ht="17.25" thickBot="1">
      <c r="A47" s="91" t="s">
        <v>137</v>
      </c>
      <c r="B47" s="185" t="s">
        <v>87</v>
      </c>
      <c r="C47" s="30" t="s">
        <v>214</v>
      </c>
      <c r="D47" s="69" t="s">
        <v>185</v>
      </c>
      <c r="E47" s="2" t="s">
        <v>89</v>
      </c>
      <c r="F47" s="1">
        <v>5</v>
      </c>
      <c r="G47" s="1"/>
      <c r="H47" s="1"/>
      <c r="I47" s="1"/>
      <c r="J47" s="1"/>
      <c r="K47" s="1"/>
      <c r="L47" s="1">
        <v>3</v>
      </c>
      <c r="M47" s="1"/>
      <c r="N47" s="1"/>
      <c r="O47" s="1"/>
      <c r="P47" s="1"/>
      <c r="Q47" s="1"/>
      <c r="R47" s="1">
        <v>6</v>
      </c>
      <c r="S47" s="1"/>
      <c r="T47" s="1"/>
      <c r="U47" s="1"/>
      <c r="V47" s="1"/>
      <c r="W47" s="1"/>
      <c r="X47" s="1">
        <v>6</v>
      </c>
      <c r="Y47" s="1"/>
      <c r="Z47" s="1"/>
      <c r="AA47" s="1"/>
      <c r="AB47" s="1"/>
      <c r="AC47" s="1"/>
      <c r="AD47" s="1">
        <v>7</v>
      </c>
      <c r="AE47" s="1"/>
      <c r="AF47" s="1"/>
      <c r="AG47" s="1"/>
      <c r="AH47" s="1"/>
      <c r="AI47" s="1"/>
      <c r="AJ47" s="1">
        <v>7</v>
      </c>
      <c r="AK47" s="1"/>
      <c r="AL47" s="1"/>
      <c r="AM47" s="1"/>
      <c r="AN47" s="1"/>
      <c r="AO47" s="1"/>
      <c r="AP47" s="1">
        <v>10</v>
      </c>
      <c r="AQ47" s="1"/>
      <c r="AR47" s="1"/>
      <c r="AS47" s="1"/>
      <c r="AT47" s="1"/>
      <c r="AU47" s="1"/>
      <c r="AV47" s="1">
        <v>10</v>
      </c>
      <c r="AW47" s="1"/>
      <c r="AX47" s="1"/>
      <c r="AY47" s="1"/>
      <c r="AZ47" s="1"/>
      <c r="BA47" s="1"/>
      <c r="BB47" s="1">
        <v>10</v>
      </c>
      <c r="BC47" s="1"/>
      <c r="BD47" s="1"/>
      <c r="BE47" s="1"/>
      <c r="BF47" s="1"/>
      <c r="BG47" s="1"/>
      <c r="BH47" s="1">
        <v>6</v>
      </c>
      <c r="BI47" s="1"/>
      <c r="BJ47" s="1"/>
      <c r="BK47" s="1"/>
      <c r="BL47" s="1"/>
      <c r="BM47" s="1"/>
      <c r="BN47" s="1">
        <v>17</v>
      </c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>
        <v>15</v>
      </c>
      <c r="CA47" s="1"/>
      <c r="CB47" s="1"/>
      <c r="CC47" s="1"/>
      <c r="CD47" s="1"/>
      <c r="CE47" s="1"/>
      <c r="CF47" s="1">
        <v>20</v>
      </c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>
        <v>15</v>
      </c>
      <c r="CS47" s="1"/>
      <c r="CT47" s="1"/>
      <c r="CU47" s="1"/>
      <c r="CV47" s="1"/>
      <c r="CW47" s="1"/>
      <c r="CX47" s="1">
        <v>60</v>
      </c>
      <c r="CY47" s="1"/>
      <c r="CZ47" s="1"/>
      <c r="DA47" s="1"/>
      <c r="DB47" s="1">
        <v>60</v>
      </c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</row>
    <row r="48" spans="1:121" ht="17.25" thickBot="1">
      <c r="A48" s="90" t="s">
        <v>138</v>
      </c>
      <c r="B48" s="185" t="s">
        <v>87</v>
      </c>
      <c r="C48" s="30" t="s">
        <v>183</v>
      </c>
      <c r="D48" s="69" t="s">
        <v>185</v>
      </c>
      <c r="E48" s="2" t="s">
        <v>89</v>
      </c>
      <c r="F48" s="1"/>
      <c r="G48" s="1"/>
      <c r="H48" s="1"/>
      <c r="I48" s="1"/>
      <c r="J48" s="1"/>
      <c r="K48" s="1"/>
      <c r="L48" s="1">
        <v>4</v>
      </c>
      <c r="M48" s="1"/>
      <c r="N48" s="1"/>
      <c r="O48" s="1"/>
      <c r="P48" s="1"/>
      <c r="Q48" s="1"/>
      <c r="R48" s="1">
        <v>7</v>
      </c>
      <c r="S48" s="1"/>
      <c r="T48" s="1"/>
      <c r="U48" s="1"/>
      <c r="V48" s="1"/>
      <c r="W48" s="1"/>
      <c r="X48" s="1">
        <v>16</v>
      </c>
      <c r="Y48" s="1"/>
      <c r="Z48" s="1"/>
      <c r="AA48" s="1"/>
      <c r="AB48" s="1"/>
      <c r="AC48" s="1"/>
      <c r="AD48" s="1">
        <v>9</v>
      </c>
      <c r="AE48" s="1"/>
      <c r="AF48" s="1"/>
      <c r="AG48" s="1"/>
      <c r="AH48" s="1"/>
      <c r="AI48" s="1"/>
      <c r="AJ48" s="1">
        <v>8</v>
      </c>
      <c r="AK48" s="1"/>
      <c r="AL48" s="1"/>
      <c r="AM48" s="1"/>
      <c r="AN48" s="1"/>
      <c r="AO48" s="1"/>
      <c r="AP48" s="1">
        <v>10</v>
      </c>
      <c r="AQ48" s="1"/>
      <c r="AR48" s="1"/>
      <c r="AS48" s="1"/>
      <c r="AT48" s="1"/>
      <c r="AU48" s="1"/>
      <c r="AV48" s="1">
        <v>10</v>
      </c>
      <c r="AW48" s="1"/>
      <c r="AX48" s="1"/>
      <c r="AY48" s="1"/>
      <c r="AZ48" s="1"/>
      <c r="BA48" s="1"/>
      <c r="BB48" s="1">
        <v>10</v>
      </c>
      <c r="BC48" s="1"/>
      <c r="BD48" s="1"/>
      <c r="BE48" s="1"/>
      <c r="BF48" s="1"/>
      <c r="BG48" s="1"/>
      <c r="BH48" s="1">
        <v>10</v>
      </c>
      <c r="BI48" s="1"/>
      <c r="BJ48" s="1"/>
      <c r="BK48" s="1"/>
      <c r="BL48" s="1"/>
      <c r="BM48" s="1"/>
      <c r="BN48" s="1">
        <v>21</v>
      </c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>
        <v>19</v>
      </c>
      <c r="CA48" s="1"/>
      <c r="CB48" s="1"/>
      <c r="CC48" s="1"/>
      <c r="CD48" s="1"/>
      <c r="CE48" s="1"/>
      <c r="CF48" s="1">
        <v>24</v>
      </c>
      <c r="CG48" s="1"/>
      <c r="CH48" s="1"/>
      <c r="CI48" s="1"/>
      <c r="CJ48" s="1"/>
      <c r="CK48" s="1"/>
      <c r="CL48" s="1">
        <v>21</v>
      </c>
      <c r="CM48" s="1"/>
      <c r="CN48" s="1"/>
      <c r="CO48" s="1"/>
      <c r="CP48" s="1"/>
      <c r="CQ48" s="1"/>
      <c r="CR48" s="1">
        <v>41</v>
      </c>
      <c r="CS48" s="1"/>
      <c r="CT48" s="1"/>
      <c r="CU48" s="1"/>
      <c r="CV48" s="1"/>
      <c r="CW48" s="1"/>
      <c r="CX48" s="1">
        <v>60</v>
      </c>
      <c r="CY48" s="1"/>
      <c r="CZ48" s="1"/>
      <c r="DA48" s="1"/>
      <c r="DB48" s="1">
        <v>60</v>
      </c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</row>
    <row r="49" spans="1:121" ht="17.25" thickBot="1">
      <c r="A49" s="91" t="s">
        <v>139</v>
      </c>
      <c r="B49" s="185" t="s">
        <v>152</v>
      </c>
      <c r="C49" s="30" t="s">
        <v>184</v>
      </c>
      <c r="D49" s="69" t="s">
        <v>185</v>
      </c>
      <c r="E49" s="2" t="s">
        <v>89</v>
      </c>
      <c r="F49" s="1"/>
      <c r="G49" s="1"/>
      <c r="H49" s="1"/>
      <c r="I49" s="1"/>
      <c r="J49" s="1"/>
      <c r="K49" s="1"/>
      <c r="L49" s="1">
        <v>5</v>
      </c>
      <c r="M49" s="1"/>
      <c r="N49" s="1"/>
      <c r="O49" s="1"/>
      <c r="P49" s="1"/>
      <c r="Q49" s="1"/>
      <c r="R49" s="1">
        <v>7</v>
      </c>
      <c r="S49" s="1"/>
      <c r="T49" s="1"/>
      <c r="U49" s="1"/>
      <c r="V49" s="1"/>
      <c r="W49" s="1"/>
      <c r="X49" s="1">
        <v>3</v>
      </c>
      <c r="Y49" s="1"/>
      <c r="Z49" s="1"/>
      <c r="AA49" s="1"/>
      <c r="AB49" s="1"/>
      <c r="AC49" s="1"/>
      <c r="AD49" s="1">
        <v>7</v>
      </c>
      <c r="AE49" s="1"/>
      <c r="AF49" s="1"/>
      <c r="AG49" s="1"/>
      <c r="AH49" s="1"/>
      <c r="AI49" s="1"/>
      <c r="AJ49" s="1">
        <v>8</v>
      </c>
      <c r="AK49" s="1"/>
      <c r="AL49" s="1"/>
      <c r="AM49" s="1"/>
      <c r="AN49" s="1"/>
      <c r="AO49" s="1"/>
      <c r="AP49" s="1">
        <v>5</v>
      </c>
      <c r="AQ49" s="1"/>
      <c r="AR49" s="1"/>
      <c r="AS49" s="1"/>
      <c r="AT49" s="1"/>
      <c r="AU49" s="1"/>
      <c r="AV49" s="1">
        <v>11</v>
      </c>
      <c r="AW49" s="1"/>
      <c r="AX49" s="1"/>
      <c r="AY49" s="1"/>
      <c r="AZ49" s="1"/>
      <c r="BA49" s="1"/>
      <c r="BB49" s="1">
        <v>12</v>
      </c>
      <c r="BC49" s="1"/>
      <c r="BD49" s="1"/>
      <c r="BE49" s="1"/>
      <c r="BF49" s="1"/>
      <c r="BG49" s="1"/>
      <c r="BH49" s="1">
        <v>4</v>
      </c>
      <c r="BI49" s="1"/>
      <c r="BJ49" s="1"/>
      <c r="BK49" s="1"/>
      <c r="BL49" s="1"/>
      <c r="BM49" s="1"/>
      <c r="BN49" s="1">
        <v>14</v>
      </c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>
        <v>24</v>
      </c>
      <c r="CA49" s="1"/>
      <c r="CB49" s="1"/>
      <c r="CC49" s="1"/>
      <c r="CD49" s="1"/>
      <c r="CE49" s="1"/>
      <c r="CF49" s="1">
        <v>25</v>
      </c>
      <c r="CG49" s="1"/>
      <c r="CH49" s="1"/>
      <c r="CI49" s="1"/>
      <c r="CJ49" s="1"/>
      <c r="CK49" s="1"/>
      <c r="CL49" s="1">
        <v>19</v>
      </c>
      <c r="CM49" s="1"/>
      <c r="CN49" s="1"/>
      <c r="CO49" s="1"/>
      <c r="CP49" s="1"/>
      <c r="CQ49" s="1"/>
      <c r="CR49" s="1">
        <v>22</v>
      </c>
      <c r="CS49" s="1"/>
      <c r="CT49" s="1"/>
      <c r="CU49" s="1"/>
      <c r="CV49" s="1"/>
      <c r="CW49" s="1"/>
      <c r="CX49" s="1">
        <v>60</v>
      </c>
      <c r="CY49" s="1"/>
      <c r="CZ49" s="1"/>
      <c r="DA49" s="1"/>
      <c r="DB49" s="1">
        <v>60</v>
      </c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</row>
    <row r="50" spans="1:121" ht="17.25" thickBot="1">
      <c r="A50" s="91" t="s">
        <v>140</v>
      </c>
      <c r="B50" s="185" t="s">
        <v>87</v>
      </c>
      <c r="C50" s="30" t="s">
        <v>218</v>
      </c>
      <c r="D50" s="69" t="s">
        <v>185</v>
      </c>
      <c r="E50" s="2" t="s">
        <v>89</v>
      </c>
      <c r="F50" s="1"/>
      <c r="G50" s="1"/>
      <c r="H50" s="1"/>
      <c r="I50" s="1"/>
      <c r="J50" s="1"/>
      <c r="K50" s="1"/>
      <c r="L50" s="1">
        <v>4</v>
      </c>
      <c r="M50" s="1"/>
      <c r="N50" s="1"/>
      <c r="O50" s="1"/>
      <c r="P50" s="1"/>
      <c r="Q50" s="1"/>
      <c r="R50" s="1">
        <v>7</v>
      </c>
      <c r="S50" s="1"/>
      <c r="T50" s="1"/>
      <c r="U50" s="1"/>
      <c r="V50" s="1"/>
      <c r="W50" s="1"/>
      <c r="X50" s="1">
        <v>4</v>
      </c>
      <c r="Y50" s="1"/>
      <c r="Z50" s="1"/>
      <c r="AA50" s="1"/>
      <c r="AB50" s="1"/>
      <c r="AC50" s="1"/>
      <c r="AD50" s="1">
        <v>9</v>
      </c>
      <c r="AE50" s="1"/>
      <c r="AF50" s="1"/>
      <c r="AG50" s="1"/>
      <c r="AH50" s="1"/>
      <c r="AI50" s="1"/>
      <c r="AJ50" s="1">
        <v>10</v>
      </c>
      <c r="AK50" s="1"/>
      <c r="AL50" s="1"/>
      <c r="AM50" s="1"/>
      <c r="AN50" s="1"/>
      <c r="AO50" s="1"/>
      <c r="AP50" s="1">
        <v>5</v>
      </c>
      <c r="AQ50" s="1"/>
      <c r="AR50" s="1"/>
      <c r="AS50" s="1"/>
      <c r="AT50" s="1"/>
      <c r="AU50" s="1"/>
      <c r="AV50" s="1">
        <v>12</v>
      </c>
      <c r="AW50" s="1"/>
      <c r="AX50" s="1"/>
      <c r="AY50" s="1"/>
      <c r="AZ50" s="1"/>
      <c r="BA50" s="1"/>
      <c r="BB50" s="1">
        <v>11</v>
      </c>
      <c r="BC50" s="1"/>
      <c r="BD50" s="1"/>
      <c r="BE50" s="1"/>
      <c r="BF50" s="1"/>
      <c r="BG50" s="1"/>
      <c r="BH50" s="1">
        <v>13</v>
      </c>
      <c r="BI50" s="1"/>
      <c r="BJ50" s="1"/>
      <c r="BK50" s="1"/>
      <c r="BL50" s="1"/>
      <c r="BM50" s="1"/>
      <c r="BN50" s="1">
        <v>19</v>
      </c>
      <c r="BO50" s="1"/>
      <c r="BP50" s="1"/>
      <c r="BQ50" s="1"/>
      <c r="BR50" s="1"/>
      <c r="BS50" s="1"/>
      <c r="BT50" s="1">
        <v>16</v>
      </c>
      <c r="BU50" s="1"/>
      <c r="BV50" s="1"/>
      <c r="BW50" s="1"/>
      <c r="BX50" s="1"/>
      <c r="BY50" s="1"/>
      <c r="BZ50" s="1">
        <v>17</v>
      </c>
      <c r="CA50" s="1"/>
      <c r="CB50" s="1"/>
      <c r="CC50" s="1"/>
      <c r="CD50" s="1"/>
      <c r="CE50" s="1"/>
      <c r="CF50" s="1">
        <v>12</v>
      </c>
      <c r="CG50" s="1"/>
      <c r="CH50" s="1"/>
      <c r="CI50" s="1"/>
      <c r="CJ50" s="1"/>
      <c r="CK50" s="1"/>
      <c r="CL50" s="1">
        <v>21</v>
      </c>
      <c r="CM50" s="1"/>
      <c r="CN50" s="1"/>
      <c r="CO50" s="1"/>
      <c r="CP50" s="1"/>
      <c r="CQ50" s="1"/>
      <c r="CR50" s="1">
        <v>15</v>
      </c>
      <c r="CS50" s="1"/>
      <c r="CT50" s="1"/>
      <c r="CU50" s="1"/>
      <c r="CV50" s="1"/>
      <c r="CW50" s="1"/>
      <c r="CX50" s="1">
        <v>60</v>
      </c>
      <c r="CY50" s="1"/>
      <c r="CZ50" s="1"/>
      <c r="DA50" s="1"/>
      <c r="DB50" s="1">
        <v>60</v>
      </c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</row>
    <row r="51" spans="1:121" ht="17.25" thickBot="1">
      <c r="A51" s="91" t="s">
        <v>141</v>
      </c>
      <c r="B51" s="185" t="s">
        <v>87</v>
      </c>
      <c r="C51" s="30" t="s">
        <v>205</v>
      </c>
      <c r="D51" s="69" t="s">
        <v>185</v>
      </c>
      <c r="E51" s="2" t="s">
        <v>89</v>
      </c>
      <c r="F51" s="1">
        <v>5</v>
      </c>
      <c r="G51" s="1"/>
      <c r="H51" s="1"/>
      <c r="I51" s="1"/>
      <c r="J51" s="1"/>
      <c r="K51" s="1"/>
      <c r="L51" s="1">
        <v>4</v>
      </c>
      <c r="M51" s="1"/>
      <c r="N51" s="1"/>
      <c r="O51" s="1"/>
      <c r="P51" s="1"/>
      <c r="Q51" s="1"/>
      <c r="R51" s="1">
        <v>6</v>
      </c>
      <c r="S51" s="1"/>
      <c r="T51" s="1"/>
      <c r="U51" s="1"/>
      <c r="V51" s="1"/>
      <c r="W51" s="1"/>
      <c r="X51" s="1">
        <v>8</v>
      </c>
      <c r="Y51" s="1"/>
      <c r="Z51" s="1"/>
      <c r="AA51" s="1"/>
      <c r="AB51" s="1"/>
      <c r="AC51" s="1"/>
      <c r="AD51" s="1">
        <v>9</v>
      </c>
      <c r="AE51" s="1"/>
      <c r="AF51" s="1"/>
      <c r="AG51" s="1"/>
      <c r="AH51" s="1"/>
      <c r="AI51" s="1"/>
      <c r="AJ51" s="1">
        <v>13</v>
      </c>
      <c r="AK51" s="1"/>
      <c r="AL51" s="1"/>
      <c r="AM51" s="1"/>
      <c r="AN51" s="1"/>
      <c r="AO51" s="1"/>
      <c r="AP51" s="1">
        <v>10</v>
      </c>
      <c r="AQ51" s="1"/>
      <c r="AR51" s="1"/>
      <c r="AS51" s="1"/>
      <c r="AT51" s="1"/>
      <c r="AU51" s="1"/>
      <c r="AV51" s="1">
        <v>8</v>
      </c>
      <c r="AW51" s="1"/>
      <c r="AX51" s="1"/>
      <c r="AY51" s="1"/>
      <c r="AZ51" s="1"/>
      <c r="BA51" s="1"/>
      <c r="BB51" s="1">
        <v>11</v>
      </c>
      <c r="BC51" s="1"/>
      <c r="BD51" s="1"/>
      <c r="BE51" s="1"/>
      <c r="BF51" s="1"/>
      <c r="BG51" s="1"/>
      <c r="BH51" s="1">
        <v>4</v>
      </c>
      <c r="BI51" s="1"/>
      <c r="BJ51" s="1"/>
      <c r="BK51" s="1"/>
      <c r="BL51" s="1"/>
      <c r="BM51" s="1"/>
      <c r="BN51" s="1">
        <v>19</v>
      </c>
      <c r="BO51" s="1"/>
      <c r="BP51" s="1"/>
      <c r="BQ51" s="1"/>
      <c r="BR51" s="1"/>
      <c r="BS51" s="1"/>
      <c r="BT51" s="1">
        <v>22</v>
      </c>
      <c r="BU51" s="1"/>
      <c r="BV51" s="1"/>
      <c r="BW51" s="1"/>
      <c r="BX51" s="1"/>
      <c r="BY51" s="1"/>
      <c r="BZ51" s="1">
        <v>18</v>
      </c>
      <c r="CA51" s="1"/>
      <c r="CB51" s="1"/>
      <c r="CC51" s="1"/>
      <c r="CD51" s="1"/>
      <c r="CE51" s="1"/>
      <c r="CF51" s="1">
        <v>24</v>
      </c>
      <c r="CG51" s="1"/>
      <c r="CH51" s="1"/>
      <c r="CI51" s="1"/>
      <c r="CJ51" s="1"/>
      <c r="CK51" s="1"/>
      <c r="CL51" s="1">
        <v>22</v>
      </c>
      <c r="CM51" s="1"/>
      <c r="CN51" s="1"/>
      <c r="CO51" s="1"/>
      <c r="CP51" s="1"/>
      <c r="CQ51" s="1"/>
      <c r="CR51" s="1">
        <v>26</v>
      </c>
      <c r="CS51" s="1"/>
      <c r="CT51" s="1"/>
      <c r="CU51" s="1"/>
      <c r="CV51" s="1"/>
      <c r="CW51" s="1"/>
      <c r="CX51" s="1">
        <v>60</v>
      </c>
      <c r="CY51" s="1"/>
      <c r="CZ51" s="1"/>
      <c r="DA51" s="1"/>
      <c r="DB51" s="1">
        <v>60</v>
      </c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</row>
    <row r="52" spans="1:121" ht="17.25" thickBot="1">
      <c r="A52" s="91" t="s">
        <v>142</v>
      </c>
      <c r="B52" s="185" t="s">
        <v>87</v>
      </c>
      <c r="C52" s="30" t="s">
        <v>206</v>
      </c>
      <c r="D52" s="69" t="s">
        <v>185</v>
      </c>
      <c r="E52" s="2" t="s">
        <v>89</v>
      </c>
      <c r="F52" s="1">
        <v>5</v>
      </c>
      <c r="G52" s="1"/>
      <c r="H52" s="1"/>
      <c r="I52" s="1"/>
      <c r="J52" s="1"/>
      <c r="K52" s="1"/>
      <c r="L52" s="1">
        <v>5</v>
      </c>
      <c r="M52" s="1"/>
      <c r="N52" s="1"/>
      <c r="O52" s="1"/>
      <c r="P52" s="1"/>
      <c r="Q52" s="1"/>
      <c r="R52" s="1">
        <v>7</v>
      </c>
      <c r="S52" s="1"/>
      <c r="T52" s="1"/>
      <c r="U52" s="1"/>
      <c r="V52" s="1"/>
      <c r="W52" s="1"/>
      <c r="X52" s="1">
        <v>10</v>
      </c>
      <c r="Y52" s="1"/>
      <c r="Z52" s="1"/>
      <c r="AA52" s="1"/>
      <c r="AB52" s="1"/>
      <c r="AC52" s="1"/>
      <c r="AD52" s="1">
        <v>7</v>
      </c>
      <c r="AE52" s="1"/>
      <c r="AF52" s="1"/>
      <c r="AG52" s="1"/>
      <c r="AH52" s="1"/>
      <c r="AI52" s="1"/>
      <c r="AJ52" s="1">
        <v>12</v>
      </c>
      <c r="AK52" s="1"/>
      <c r="AL52" s="1"/>
      <c r="AM52" s="1"/>
      <c r="AN52" s="1"/>
      <c r="AO52" s="1"/>
      <c r="AP52" s="1">
        <v>10</v>
      </c>
      <c r="AQ52" s="1"/>
      <c r="AR52" s="1"/>
      <c r="AS52" s="1"/>
      <c r="AT52" s="1"/>
      <c r="AU52" s="1"/>
      <c r="AV52" s="1">
        <v>14</v>
      </c>
      <c r="AW52" s="1"/>
      <c r="AX52" s="1"/>
      <c r="AY52" s="1"/>
      <c r="AZ52" s="1"/>
      <c r="BA52" s="1"/>
      <c r="BB52" s="1">
        <v>12</v>
      </c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>
        <v>17</v>
      </c>
      <c r="BO52" s="1"/>
      <c r="BP52" s="1"/>
      <c r="BQ52" s="1"/>
      <c r="BR52" s="1"/>
      <c r="BS52" s="1"/>
      <c r="BT52" s="1">
        <v>20</v>
      </c>
      <c r="BU52" s="1"/>
      <c r="BV52" s="1"/>
      <c r="BW52" s="1"/>
      <c r="BX52" s="1"/>
      <c r="BY52" s="1"/>
      <c r="BZ52" s="1">
        <v>17</v>
      </c>
      <c r="CA52" s="1"/>
      <c r="CB52" s="1"/>
      <c r="CC52" s="1"/>
      <c r="CD52" s="1"/>
      <c r="CE52" s="1"/>
      <c r="CF52" s="1">
        <v>20</v>
      </c>
      <c r="CG52" s="1"/>
      <c r="CH52" s="1"/>
      <c r="CI52" s="1"/>
      <c r="CJ52" s="1"/>
      <c r="CK52" s="1"/>
      <c r="CL52" s="1">
        <v>20</v>
      </c>
      <c r="CM52" s="1"/>
      <c r="CN52" s="1"/>
      <c r="CO52" s="1"/>
      <c r="CP52" s="1"/>
      <c r="CQ52" s="1"/>
      <c r="CR52" s="1">
        <v>33</v>
      </c>
      <c r="CS52" s="1"/>
      <c r="CT52" s="1"/>
      <c r="CU52" s="1"/>
      <c r="CV52" s="1"/>
      <c r="CW52" s="1"/>
      <c r="CX52" s="1">
        <v>60</v>
      </c>
      <c r="CY52" s="1"/>
      <c r="CZ52" s="1"/>
      <c r="DA52" s="1"/>
      <c r="DB52" s="1">
        <v>60</v>
      </c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</row>
    <row r="53" spans="1:121" ht="17.25" thickBot="1">
      <c r="A53" s="89" t="s">
        <v>143</v>
      </c>
      <c r="B53" s="185" t="s">
        <v>87</v>
      </c>
      <c r="C53" s="30" t="s">
        <v>207</v>
      </c>
      <c r="D53" s="69" t="s">
        <v>185</v>
      </c>
      <c r="E53" s="2" t="s">
        <v>89</v>
      </c>
      <c r="F53" s="1">
        <v>5</v>
      </c>
      <c r="G53" s="1"/>
      <c r="H53" s="1"/>
      <c r="I53" s="1"/>
      <c r="J53" s="1"/>
      <c r="K53" s="1"/>
      <c r="L53" s="1">
        <v>6</v>
      </c>
      <c r="M53" s="1"/>
      <c r="N53" s="1"/>
      <c r="O53" s="1"/>
      <c r="P53" s="1"/>
      <c r="Q53" s="1"/>
      <c r="R53" s="1">
        <v>7</v>
      </c>
      <c r="S53" s="1"/>
      <c r="T53" s="1"/>
      <c r="U53" s="1"/>
      <c r="V53" s="1"/>
      <c r="W53" s="1"/>
      <c r="X53" s="1">
        <v>9</v>
      </c>
      <c r="Y53" s="1"/>
      <c r="Z53" s="1"/>
      <c r="AA53" s="1"/>
      <c r="AB53" s="1"/>
      <c r="AC53" s="1"/>
      <c r="AD53" s="1">
        <v>11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>
        <v>10</v>
      </c>
      <c r="AQ53" s="1"/>
      <c r="AR53" s="1"/>
      <c r="AS53" s="1"/>
      <c r="AT53" s="1"/>
      <c r="AU53" s="1"/>
      <c r="AV53" s="1">
        <v>4</v>
      </c>
      <c r="AW53" s="1"/>
      <c r="AX53" s="1"/>
      <c r="AY53" s="1"/>
      <c r="AZ53" s="1"/>
      <c r="BA53" s="1"/>
      <c r="BB53" s="1">
        <v>14</v>
      </c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>
        <v>15</v>
      </c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>
        <v>28</v>
      </c>
      <c r="CG53" s="1"/>
      <c r="CH53" s="1"/>
      <c r="CI53" s="1"/>
      <c r="CJ53" s="1"/>
      <c r="CK53" s="1"/>
      <c r="CL53" s="1">
        <v>33</v>
      </c>
      <c r="CM53" s="1"/>
      <c r="CN53" s="1"/>
      <c r="CO53" s="1"/>
      <c r="CP53" s="1"/>
      <c r="CQ53" s="1"/>
      <c r="CR53" s="1">
        <v>30</v>
      </c>
      <c r="CS53" s="1"/>
      <c r="CT53" s="1"/>
      <c r="CU53" s="1"/>
      <c r="CV53" s="1"/>
      <c r="CW53" s="1"/>
      <c r="CX53" s="1">
        <v>60</v>
      </c>
      <c r="CY53" s="1"/>
      <c r="CZ53" s="1"/>
      <c r="DA53" s="1"/>
      <c r="DB53" s="1">
        <v>60</v>
      </c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</row>
    <row r="54" spans="1:121" ht="17.25" thickBot="1">
      <c r="A54" s="91" t="s">
        <v>144</v>
      </c>
      <c r="B54" s="185" t="s">
        <v>87</v>
      </c>
      <c r="C54" s="187" t="s">
        <v>216</v>
      </c>
      <c r="D54" s="69" t="s">
        <v>185</v>
      </c>
      <c r="E54" s="2" t="s">
        <v>89</v>
      </c>
      <c r="F54" s="1"/>
      <c r="G54" s="1"/>
      <c r="H54" s="1"/>
      <c r="I54" s="1"/>
      <c r="J54" s="1"/>
      <c r="K54" s="1"/>
      <c r="L54" s="1">
        <v>6</v>
      </c>
      <c r="M54" s="1"/>
      <c r="N54" s="1"/>
      <c r="O54" s="1"/>
      <c r="P54" s="1"/>
      <c r="Q54" s="1"/>
      <c r="R54" s="1">
        <v>6</v>
      </c>
      <c r="S54" s="1"/>
      <c r="T54" s="1"/>
      <c r="U54" s="1"/>
      <c r="V54" s="1"/>
      <c r="W54" s="1"/>
      <c r="X54" s="1">
        <v>17</v>
      </c>
      <c r="Y54" s="1"/>
      <c r="Z54" s="1"/>
      <c r="AA54" s="1"/>
      <c r="AB54" s="1"/>
      <c r="AC54" s="1"/>
      <c r="AD54" s="1">
        <v>10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>
        <v>10</v>
      </c>
      <c r="AQ54" s="1"/>
      <c r="AR54" s="1"/>
      <c r="AS54" s="1"/>
      <c r="AT54" s="1"/>
      <c r="AU54" s="1"/>
      <c r="AV54" s="1">
        <v>4</v>
      </c>
      <c r="AW54" s="1"/>
      <c r="AX54" s="1"/>
      <c r="AY54" s="1"/>
      <c r="AZ54" s="1"/>
      <c r="BA54" s="1"/>
      <c r="BB54" s="1">
        <v>13</v>
      </c>
      <c r="BC54" s="1"/>
      <c r="BD54" s="1"/>
      <c r="BE54" s="1"/>
      <c r="BF54" s="1"/>
      <c r="BG54" s="1"/>
      <c r="BH54" s="1">
        <v>12</v>
      </c>
      <c r="BI54" s="1"/>
      <c r="BJ54" s="1"/>
      <c r="BK54" s="1"/>
      <c r="BL54" s="1"/>
      <c r="BM54" s="1"/>
      <c r="BN54" s="1">
        <v>14</v>
      </c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>
        <v>21</v>
      </c>
      <c r="CG54" s="1"/>
      <c r="CH54" s="1"/>
      <c r="CI54" s="1"/>
      <c r="CJ54" s="1"/>
      <c r="CK54" s="1"/>
      <c r="CL54" s="1">
        <v>27</v>
      </c>
      <c r="CM54" s="1"/>
      <c r="CN54" s="1"/>
      <c r="CO54" s="1"/>
      <c r="CP54" s="1"/>
      <c r="CQ54" s="1"/>
      <c r="CR54" s="1">
        <v>25</v>
      </c>
      <c r="CS54" s="1"/>
      <c r="CT54" s="1"/>
      <c r="CU54" s="1"/>
      <c r="CV54" s="1"/>
      <c r="CW54" s="1"/>
      <c r="CX54" s="1">
        <v>60</v>
      </c>
      <c r="CY54" s="1"/>
      <c r="CZ54" s="1"/>
      <c r="DA54" s="1"/>
      <c r="DB54" s="1">
        <v>60</v>
      </c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</row>
    <row r="55" spans="1:121" ht="17.25" thickBot="1">
      <c r="A55" s="91" t="s">
        <v>145</v>
      </c>
      <c r="B55" s="185" t="s">
        <v>87</v>
      </c>
      <c r="C55" s="30" t="s">
        <v>202</v>
      </c>
      <c r="D55" s="69" t="s">
        <v>185</v>
      </c>
      <c r="E55" s="2" t="s">
        <v>89</v>
      </c>
      <c r="F55" s="1">
        <v>6</v>
      </c>
      <c r="G55" s="1"/>
      <c r="H55" s="1"/>
      <c r="I55" s="1"/>
      <c r="J55" s="1"/>
      <c r="K55" s="1"/>
      <c r="L55" s="1">
        <v>3</v>
      </c>
      <c r="M55" s="1"/>
      <c r="N55" s="1"/>
      <c r="O55" s="1"/>
      <c r="P55" s="1"/>
      <c r="Q55" s="1"/>
      <c r="R55" s="1">
        <v>7</v>
      </c>
      <c r="S55" s="1"/>
      <c r="T55" s="1"/>
      <c r="U55" s="1"/>
      <c r="V55" s="1"/>
      <c r="W55" s="1"/>
      <c r="X55" s="1">
        <v>8</v>
      </c>
      <c r="Y55" s="1"/>
      <c r="Z55" s="1"/>
      <c r="AA55" s="1"/>
      <c r="AB55" s="1"/>
      <c r="AC55" s="1"/>
      <c r="AD55" s="1">
        <v>8</v>
      </c>
      <c r="AE55" s="1"/>
      <c r="AF55" s="1"/>
      <c r="AG55" s="1"/>
      <c r="AH55" s="1"/>
      <c r="AI55" s="1"/>
      <c r="AJ55" s="1">
        <v>11</v>
      </c>
      <c r="AK55" s="1"/>
      <c r="AL55" s="1"/>
      <c r="AM55" s="1"/>
      <c r="AN55" s="1"/>
      <c r="AO55" s="1"/>
      <c r="AP55" s="1">
        <v>5</v>
      </c>
      <c r="AQ55" s="1"/>
      <c r="AR55" s="1"/>
      <c r="AS55" s="1"/>
      <c r="AT55" s="1"/>
      <c r="AU55" s="1"/>
      <c r="AV55" s="1">
        <v>4</v>
      </c>
      <c r="AW55" s="1"/>
      <c r="AX55" s="1"/>
      <c r="AY55" s="1"/>
      <c r="AZ55" s="1"/>
      <c r="BA55" s="1"/>
      <c r="BB55" s="1">
        <v>10</v>
      </c>
      <c r="BC55" s="1"/>
      <c r="BD55" s="1"/>
      <c r="BE55" s="1"/>
      <c r="BF55" s="1"/>
      <c r="BG55" s="1"/>
      <c r="BH55" s="1">
        <v>4</v>
      </c>
      <c r="BI55" s="1"/>
      <c r="BJ55" s="1"/>
      <c r="BK55" s="1"/>
      <c r="BL55" s="1"/>
      <c r="BM55" s="1"/>
      <c r="BN55" s="1">
        <v>12</v>
      </c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>
        <v>17</v>
      </c>
      <c r="CA55" s="1"/>
      <c r="CB55" s="1"/>
      <c r="CC55" s="1"/>
      <c r="CD55" s="1"/>
      <c r="CE55" s="1"/>
      <c r="CF55" s="1">
        <v>16</v>
      </c>
      <c r="CG55" s="1"/>
      <c r="CH55" s="1"/>
      <c r="CI55" s="1"/>
      <c r="CJ55" s="1"/>
      <c r="CK55" s="1"/>
      <c r="CL55" s="1">
        <v>21</v>
      </c>
      <c r="CM55" s="1"/>
      <c r="CN55" s="1"/>
      <c r="CO55" s="1"/>
      <c r="CP55" s="1"/>
      <c r="CQ55" s="1"/>
      <c r="CR55" s="1">
        <v>29</v>
      </c>
      <c r="CS55" s="1"/>
      <c r="CT55" s="1"/>
      <c r="CU55" s="1"/>
      <c r="CV55" s="1"/>
      <c r="CW55" s="1"/>
      <c r="CX55" s="1">
        <v>60</v>
      </c>
      <c r="CY55" s="1"/>
      <c r="CZ55" s="1"/>
      <c r="DA55" s="1"/>
      <c r="DB55" s="1">
        <v>60</v>
      </c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</row>
    <row r="56" spans="1:121" ht="17.25" thickBot="1">
      <c r="A56" s="91" t="s">
        <v>146</v>
      </c>
      <c r="B56" s="185" t="s">
        <v>87</v>
      </c>
      <c r="C56" s="30" t="s">
        <v>208</v>
      </c>
      <c r="D56" s="69" t="s">
        <v>185</v>
      </c>
      <c r="E56" s="2" t="s">
        <v>89</v>
      </c>
      <c r="F56" s="1"/>
      <c r="G56" s="1"/>
      <c r="H56" s="1"/>
      <c r="I56" s="1"/>
      <c r="J56" s="1"/>
      <c r="K56" s="1"/>
      <c r="L56" s="1">
        <v>5</v>
      </c>
      <c r="M56" s="1"/>
      <c r="N56" s="1"/>
      <c r="O56" s="1"/>
      <c r="P56" s="1"/>
      <c r="Q56" s="1"/>
      <c r="R56" s="1">
        <v>7</v>
      </c>
      <c r="S56" s="1"/>
      <c r="T56" s="1"/>
      <c r="U56" s="1"/>
      <c r="V56" s="1"/>
      <c r="W56" s="1"/>
      <c r="X56" s="1">
        <v>7</v>
      </c>
      <c r="Y56" s="1"/>
      <c r="Z56" s="1"/>
      <c r="AA56" s="1"/>
      <c r="AB56" s="1"/>
      <c r="AC56" s="1"/>
      <c r="AD56" s="1">
        <v>7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>
        <v>4</v>
      </c>
      <c r="AQ56" s="1"/>
      <c r="AR56" s="1"/>
      <c r="AS56" s="1"/>
      <c r="AT56" s="1"/>
      <c r="AU56" s="1"/>
      <c r="AV56" s="1">
        <v>12</v>
      </c>
      <c r="AW56" s="1"/>
      <c r="AX56" s="1"/>
      <c r="AY56" s="1"/>
      <c r="AZ56" s="1"/>
      <c r="BA56" s="1"/>
      <c r="BB56" s="1">
        <v>10</v>
      </c>
      <c r="BC56" s="1"/>
      <c r="BD56" s="1"/>
      <c r="BE56" s="1"/>
      <c r="BF56" s="1"/>
      <c r="BG56" s="1"/>
      <c r="BH56" s="1">
        <v>3</v>
      </c>
      <c r="BI56" s="1"/>
      <c r="BJ56" s="1"/>
      <c r="BK56" s="1"/>
      <c r="BL56" s="1"/>
      <c r="BM56" s="1"/>
      <c r="BN56" s="1">
        <v>21</v>
      </c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>
        <v>23</v>
      </c>
      <c r="CG56" s="1"/>
      <c r="CH56" s="1"/>
      <c r="CI56" s="1"/>
      <c r="CJ56" s="1"/>
      <c r="CK56" s="1"/>
      <c r="CL56" s="1">
        <v>31</v>
      </c>
      <c r="CM56" s="1"/>
      <c r="CN56" s="1"/>
      <c r="CO56" s="1"/>
      <c r="CP56" s="1"/>
      <c r="CQ56" s="1"/>
      <c r="CR56" s="1">
        <v>19</v>
      </c>
      <c r="CS56" s="1"/>
      <c r="CT56" s="1"/>
      <c r="CU56" s="1"/>
      <c r="CV56" s="1"/>
      <c r="CW56" s="1"/>
      <c r="CX56" s="1">
        <v>60</v>
      </c>
      <c r="CY56" s="1"/>
      <c r="CZ56" s="1"/>
      <c r="DA56" s="1"/>
      <c r="DB56" s="1">
        <v>60</v>
      </c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</row>
    <row r="57" spans="1:121" ht="17.25" thickBot="1">
      <c r="A57" s="89" t="s">
        <v>147</v>
      </c>
      <c r="B57" s="185" t="s">
        <v>87</v>
      </c>
      <c r="C57" s="187" t="s">
        <v>209</v>
      </c>
      <c r="D57" s="69" t="s">
        <v>185</v>
      </c>
      <c r="E57" s="2" t="s">
        <v>89</v>
      </c>
      <c r="F57" s="1">
        <v>5</v>
      </c>
      <c r="G57" s="1"/>
      <c r="H57" s="1"/>
      <c r="I57" s="1"/>
      <c r="J57" s="1"/>
      <c r="K57" s="1"/>
      <c r="L57" s="1">
        <v>5</v>
      </c>
      <c r="M57" s="1"/>
      <c r="N57" s="1"/>
      <c r="O57" s="1"/>
      <c r="P57" s="1"/>
      <c r="Q57" s="1"/>
      <c r="R57" s="1">
        <v>6</v>
      </c>
      <c r="S57" s="1"/>
      <c r="T57" s="1"/>
      <c r="U57" s="1"/>
      <c r="V57" s="1"/>
      <c r="W57" s="1"/>
      <c r="X57" s="1">
        <v>7</v>
      </c>
      <c r="Y57" s="1"/>
      <c r="Z57" s="1"/>
      <c r="AA57" s="1"/>
      <c r="AB57" s="1"/>
      <c r="AC57" s="1"/>
      <c r="AD57" s="1">
        <v>9</v>
      </c>
      <c r="AE57" s="1"/>
      <c r="AF57" s="1"/>
      <c r="AG57" s="1"/>
      <c r="AH57" s="1"/>
      <c r="AI57" s="1"/>
      <c r="AJ57" s="1">
        <v>9</v>
      </c>
      <c r="AK57" s="1"/>
      <c r="AL57" s="1"/>
      <c r="AM57" s="1"/>
      <c r="AN57" s="1"/>
      <c r="AO57" s="1"/>
      <c r="AP57" s="1">
        <v>10</v>
      </c>
      <c r="AQ57" s="1"/>
      <c r="AR57" s="1"/>
      <c r="AS57" s="1"/>
      <c r="AT57" s="1"/>
      <c r="AU57" s="1"/>
      <c r="AV57" s="1">
        <v>7</v>
      </c>
      <c r="AW57" s="1"/>
      <c r="AX57" s="1"/>
      <c r="AY57" s="1"/>
      <c r="AZ57" s="1"/>
      <c r="BA57" s="1"/>
      <c r="BB57" s="1">
        <v>10</v>
      </c>
      <c r="BC57" s="1"/>
      <c r="BD57" s="1"/>
      <c r="BE57" s="1"/>
      <c r="BF57" s="1"/>
      <c r="BG57" s="1"/>
      <c r="BH57" s="1">
        <v>9</v>
      </c>
      <c r="BI57" s="1"/>
      <c r="BJ57" s="1"/>
      <c r="BK57" s="1"/>
      <c r="BL57" s="1"/>
      <c r="BM57" s="1"/>
      <c r="BN57" s="1">
        <v>17</v>
      </c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>
        <v>25</v>
      </c>
      <c r="CA57" s="1"/>
      <c r="CB57" s="1"/>
      <c r="CC57" s="1"/>
      <c r="CD57" s="1"/>
      <c r="CE57" s="1"/>
      <c r="CF57" s="1">
        <v>22</v>
      </c>
      <c r="CG57" s="1"/>
      <c r="CH57" s="1"/>
      <c r="CI57" s="1"/>
      <c r="CJ57" s="1"/>
      <c r="CK57" s="1"/>
      <c r="CL57" s="1">
        <v>14</v>
      </c>
      <c r="CM57" s="1"/>
      <c r="CN57" s="1"/>
      <c r="CO57" s="1"/>
      <c r="CP57" s="1"/>
      <c r="CQ57" s="1"/>
      <c r="CR57" s="1">
        <v>16</v>
      </c>
      <c r="CS57" s="1"/>
      <c r="CT57" s="1"/>
      <c r="CU57" s="1"/>
      <c r="CV57" s="1"/>
      <c r="CW57" s="1"/>
      <c r="CX57" s="1">
        <v>60</v>
      </c>
      <c r="CY57" s="1"/>
      <c r="CZ57" s="1"/>
      <c r="DA57" s="1"/>
      <c r="DB57" s="1">
        <v>60</v>
      </c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</row>
    <row r="58" spans="1:121" ht="17.25" thickBot="1">
      <c r="A58" s="91" t="s">
        <v>148</v>
      </c>
      <c r="B58" s="185" t="s">
        <v>87</v>
      </c>
      <c r="C58" s="30" t="s">
        <v>210</v>
      </c>
      <c r="D58" s="69" t="s">
        <v>185</v>
      </c>
      <c r="E58" s="2" t="s">
        <v>89</v>
      </c>
      <c r="F58" s="1">
        <v>6</v>
      </c>
      <c r="G58" s="1"/>
      <c r="H58" s="1"/>
      <c r="I58" s="1"/>
      <c r="J58" s="1"/>
      <c r="K58" s="1"/>
      <c r="L58" s="1">
        <v>4</v>
      </c>
      <c r="M58" s="1"/>
      <c r="N58" s="1"/>
      <c r="O58" s="1"/>
      <c r="P58" s="1"/>
      <c r="Q58" s="1"/>
      <c r="R58" s="1">
        <v>6</v>
      </c>
      <c r="S58" s="1"/>
      <c r="T58" s="1"/>
      <c r="U58" s="1"/>
      <c r="V58" s="1"/>
      <c r="W58" s="1"/>
      <c r="X58" s="1">
        <v>5</v>
      </c>
      <c r="Y58" s="1"/>
      <c r="Z58" s="1"/>
      <c r="AA58" s="1"/>
      <c r="AB58" s="1"/>
      <c r="AC58" s="1"/>
      <c r="AD58" s="1">
        <v>11</v>
      </c>
      <c r="AE58" s="1"/>
      <c r="AF58" s="1"/>
      <c r="AG58" s="1"/>
      <c r="AH58" s="1"/>
      <c r="AI58" s="1"/>
      <c r="AJ58" s="1">
        <v>8</v>
      </c>
      <c r="AK58" s="1"/>
      <c r="AL58" s="1"/>
      <c r="AM58" s="1"/>
      <c r="AN58" s="1"/>
      <c r="AO58" s="1"/>
      <c r="AP58" s="1">
        <v>10</v>
      </c>
      <c r="AQ58" s="1"/>
      <c r="AR58" s="1"/>
      <c r="AS58" s="1"/>
      <c r="AT58" s="1"/>
      <c r="AU58" s="1"/>
      <c r="AV58" s="1">
        <v>7</v>
      </c>
      <c r="AW58" s="1"/>
      <c r="AX58" s="1"/>
      <c r="AY58" s="1"/>
      <c r="AZ58" s="1"/>
      <c r="BA58" s="1"/>
      <c r="BB58" s="1">
        <v>10</v>
      </c>
      <c r="BC58" s="1"/>
      <c r="BD58" s="1"/>
      <c r="BE58" s="1"/>
      <c r="BF58" s="1"/>
      <c r="BG58" s="1"/>
      <c r="BH58" s="1">
        <v>14</v>
      </c>
      <c r="BI58" s="1"/>
      <c r="BJ58" s="1"/>
      <c r="BK58" s="1"/>
      <c r="BL58" s="1"/>
      <c r="BM58" s="1"/>
      <c r="BN58" s="1">
        <v>22</v>
      </c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>
        <v>19</v>
      </c>
      <c r="CA58" s="1"/>
      <c r="CB58" s="1"/>
      <c r="CC58" s="1"/>
      <c r="CD58" s="1"/>
      <c r="CE58" s="1"/>
      <c r="CF58" s="1">
        <v>24</v>
      </c>
      <c r="CG58" s="1"/>
      <c r="CH58" s="1"/>
      <c r="CI58" s="1"/>
      <c r="CJ58" s="1"/>
      <c r="CK58" s="1"/>
      <c r="CL58" s="1">
        <v>28</v>
      </c>
      <c r="CM58" s="1"/>
      <c r="CN58" s="1"/>
      <c r="CO58" s="1"/>
      <c r="CP58" s="1"/>
      <c r="CQ58" s="1"/>
      <c r="CR58" s="1">
        <v>29</v>
      </c>
      <c r="CS58" s="1"/>
      <c r="CT58" s="1"/>
      <c r="CU58" s="1"/>
      <c r="CV58" s="1"/>
      <c r="CW58" s="1"/>
      <c r="CX58" s="1">
        <v>60</v>
      </c>
      <c r="CY58" s="1"/>
      <c r="CZ58" s="1"/>
      <c r="DA58" s="1"/>
      <c r="DB58" s="1">
        <v>60</v>
      </c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</row>
    <row r="59" spans="1:121" ht="17.25" thickBot="1">
      <c r="A59" s="91" t="s">
        <v>149</v>
      </c>
      <c r="B59" s="185" t="s">
        <v>87</v>
      </c>
      <c r="C59" s="30" t="s">
        <v>211</v>
      </c>
      <c r="D59" s="69" t="s">
        <v>185</v>
      </c>
      <c r="E59" s="2" t="s">
        <v>89</v>
      </c>
      <c r="F59" s="1">
        <v>5</v>
      </c>
      <c r="G59" s="1"/>
      <c r="H59" s="1"/>
      <c r="I59" s="1"/>
      <c r="J59" s="1"/>
      <c r="K59" s="1"/>
      <c r="L59" s="1">
        <v>3</v>
      </c>
      <c r="M59" s="1"/>
      <c r="N59" s="1"/>
      <c r="O59" s="1"/>
      <c r="P59" s="1"/>
      <c r="Q59" s="1"/>
      <c r="R59" s="1">
        <v>7</v>
      </c>
      <c r="S59" s="1"/>
      <c r="T59" s="1"/>
      <c r="U59" s="1"/>
      <c r="V59" s="1"/>
      <c r="W59" s="1"/>
      <c r="X59" s="1">
        <v>4</v>
      </c>
      <c r="Y59" s="1"/>
      <c r="Z59" s="1"/>
      <c r="AA59" s="1"/>
      <c r="AB59" s="1"/>
      <c r="AC59" s="1"/>
      <c r="AD59" s="1">
        <v>9</v>
      </c>
      <c r="AE59" s="1"/>
      <c r="AF59" s="1"/>
      <c r="AG59" s="1"/>
      <c r="AH59" s="1"/>
      <c r="AI59" s="1"/>
      <c r="AJ59" s="1">
        <v>8</v>
      </c>
      <c r="AK59" s="1"/>
      <c r="AL59" s="1"/>
      <c r="AM59" s="1"/>
      <c r="AN59" s="1"/>
      <c r="AO59" s="1"/>
      <c r="AP59" s="1">
        <v>10</v>
      </c>
      <c r="AQ59" s="1"/>
      <c r="AR59" s="1"/>
      <c r="AS59" s="1"/>
      <c r="AT59" s="1"/>
      <c r="AU59" s="1"/>
      <c r="AV59" s="1">
        <v>7</v>
      </c>
      <c r="AW59" s="1"/>
      <c r="AX59" s="1"/>
      <c r="AY59" s="1"/>
      <c r="AZ59" s="1"/>
      <c r="BA59" s="1"/>
      <c r="BB59" s="1">
        <v>14</v>
      </c>
      <c r="BC59" s="1"/>
      <c r="BD59" s="1"/>
      <c r="BE59" s="1"/>
      <c r="BF59" s="1"/>
      <c r="BG59" s="1"/>
      <c r="BH59" s="1">
        <v>5</v>
      </c>
      <c r="BI59" s="1"/>
      <c r="BJ59" s="1"/>
      <c r="BK59" s="1"/>
      <c r="BL59" s="1"/>
      <c r="BM59" s="1"/>
      <c r="BN59" s="1">
        <v>20</v>
      </c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>
        <v>23</v>
      </c>
      <c r="CA59" s="1"/>
      <c r="CB59" s="1"/>
      <c r="CC59" s="1"/>
      <c r="CD59" s="1"/>
      <c r="CE59" s="1"/>
      <c r="CF59" s="1">
        <v>16</v>
      </c>
      <c r="CG59" s="1"/>
      <c r="CH59" s="1"/>
      <c r="CI59" s="1"/>
      <c r="CJ59" s="1"/>
      <c r="CK59" s="1"/>
      <c r="CL59" s="1">
        <v>20</v>
      </c>
      <c r="CM59" s="1"/>
      <c r="CN59" s="1"/>
      <c r="CO59" s="1"/>
      <c r="CP59" s="1"/>
      <c r="CQ59" s="1"/>
      <c r="CR59" s="1">
        <v>21</v>
      </c>
      <c r="CS59" s="1"/>
      <c r="CT59" s="1"/>
      <c r="CU59" s="1"/>
      <c r="CV59" s="1"/>
      <c r="CW59" s="1"/>
      <c r="CX59" s="1">
        <v>60</v>
      </c>
      <c r="CY59" s="1"/>
      <c r="CZ59" s="1"/>
      <c r="DA59" s="1"/>
      <c r="DB59" s="1">
        <v>60</v>
      </c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</row>
    <row r="60" spans="1:121" ht="17.25" thickBot="1">
      <c r="A60" s="91" t="s">
        <v>150</v>
      </c>
      <c r="B60" s="185" t="s">
        <v>87</v>
      </c>
      <c r="C60" s="30" t="s">
        <v>212</v>
      </c>
      <c r="D60" s="69" t="s">
        <v>185</v>
      </c>
      <c r="E60" s="2" t="s">
        <v>89</v>
      </c>
      <c r="F60" s="1">
        <v>4</v>
      </c>
      <c r="G60" s="1"/>
      <c r="H60" s="1"/>
      <c r="I60" s="1"/>
      <c r="J60" s="1"/>
      <c r="K60" s="1"/>
      <c r="L60" s="1">
        <v>4</v>
      </c>
      <c r="M60" s="1"/>
      <c r="N60" s="1"/>
      <c r="O60" s="1"/>
      <c r="P60" s="1"/>
      <c r="Q60" s="1"/>
      <c r="R60" s="1">
        <v>7</v>
      </c>
      <c r="S60" s="1"/>
      <c r="T60" s="1"/>
      <c r="U60" s="1"/>
      <c r="V60" s="1"/>
      <c r="W60" s="1"/>
      <c r="X60" s="1">
        <v>7</v>
      </c>
      <c r="Y60" s="1"/>
      <c r="Z60" s="1"/>
      <c r="AA60" s="1"/>
      <c r="AB60" s="1"/>
      <c r="AC60" s="1"/>
      <c r="AD60" s="1">
        <v>11</v>
      </c>
      <c r="AE60" s="1"/>
      <c r="AF60" s="1"/>
      <c r="AG60" s="1"/>
      <c r="AH60" s="1"/>
      <c r="AI60" s="1"/>
      <c r="AJ60" s="1">
        <v>10</v>
      </c>
      <c r="AK60" s="1"/>
      <c r="AL60" s="1"/>
      <c r="AM60" s="1"/>
      <c r="AN60" s="1"/>
      <c r="AO60" s="1"/>
      <c r="AP60" s="1">
        <v>4</v>
      </c>
      <c r="AQ60" s="1"/>
      <c r="AR60" s="1"/>
      <c r="AS60" s="1"/>
      <c r="AT60" s="1"/>
      <c r="AU60" s="1"/>
      <c r="AV60" s="1">
        <v>4</v>
      </c>
      <c r="AW60" s="1"/>
      <c r="AX60" s="1"/>
      <c r="AY60" s="1"/>
      <c r="AZ60" s="1"/>
      <c r="BA60" s="1"/>
      <c r="BB60" s="1">
        <v>11</v>
      </c>
      <c r="BC60" s="1"/>
      <c r="BD60" s="1"/>
      <c r="BE60" s="1"/>
      <c r="BF60" s="1"/>
      <c r="BG60" s="1"/>
      <c r="BH60" s="1">
        <v>5</v>
      </c>
      <c r="BI60" s="1"/>
      <c r="BJ60" s="1"/>
      <c r="BK60" s="1"/>
      <c r="BL60" s="1"/>
      <c r="BM60" s="1"/>
      <c r="BN60" s="1">
        <v>18</v>
      </c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>
        <v>24</v>
      </c>
      <c r="CA60" s="1"/>
      <c r="CB60" s="1"/>
      <c r="CC60" s="1"/>
      <c r="CD60" s="1"/>
      <c r="CE60" s="1"/>
      <c r="CF60" s="1">
        <v>22</v>
      </c>
      <c r="CG60" s="1"/>
      <c r="CH60" s="1"/>
      <c r="CI60" s="1"/>
      <c r="CJ60" s="1"/>
      <c r="CK60" s="1"/>
      <c r="CL60" s="1">
        <v>23</v>
      </c>
      <c r="CM60" s="1"/>
      <c r="CN60" s="1"/>
      <c r="CO60" s="1"/>
      <c r="CP60" s="1"/>
      <c r="CQ60" s="1"/>
      <c r="CR60" s="1">
        <v>36</v>
      </c>
      <c r="CS60" s="1"/>
      <c r="CT60" s="1"/>
      <c r="CU60" s="1"/>
      <c r="CV60" s="1"/>
      <c r="CW60" s="1"/>
      <c r="CX60" s="1">
        <v>60</v>
      </c>
      <c r="CY60" s="1"/>
      <c r="CZ60" s="1"/>
      <c r="DA60" s="1"/>
      <c r="DB60" s="1">
        <v>60</v>
      </c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</row>
    <row r="61" spans="1:121" ht="17.25" thickBot="1">
      <c r="A61" s="89" t="s">
        <v>151</v>
      </c>
      <c r="B61" s="185" t="s">
        <v>87</v>
      </c>
      <c r="C61" s="30" t="s">
        <v>213</v>
      </c>
      <c r="D61" s="69" t="s">
        <v>185</v>
      </c>
      <c r="E61" s="2" t="s">
        <v>89</v>
      </c>
      <c r="F61" s="1">
        <v>3</v>
      </c>
      <c r="G61" s="1"/>
      <c r="H61" s="1"/>
      <c r="I61" s="1"/>
      <c r="J61" s="1"/>
      <c r="K61" s="1"/>
      <c r="L61" s="1">
        <v>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>
        <v>4</v>
      </c>
      <c r="Y61" s="1"/>
      <c r="Z61" s="1"/>
      <c r="AA61" s="1"/>
      <c r="AB61" s="1"/>
      <c r="AC61" s="1"/>
      <c r="AD61" s="1">
        <v>10</v>
      </c>
      <c r="AE61" s="1"/>
      <c r="AF61" s="1"/>
      <c r="AG61" s="1"/>
      <c r="AH61" s="1"/>
      <c r="AI61" s="1"/>
      <c r="AJ61" s="1">
        <v>11</v>
      </c>
      <c r="AK61" s="1"/>
      <c r="AL61" s="1"/>
      <c r="AM61" s="1"/>
      <c r="AN61" s="1"/>
      <c r="AO61" s="1"/>
      <c r="AP61" s="1">
        <v>5</v>
      </c>
      <c r="AQ61" s="1"/>
      <c r="AR61" s="1"/>
      <c r="AS61" s="1"/>
      <c r="AT61" s="1"/>
      <c r="AU61" s="1"/>
      <c r="AV61" s="1">
        <v>8</v>
      </c>
      <c r="AW61" s="1"/>
      <c r="AX61" s="1"/>
      <c r="AY61" s="1"/>
      <c r="AZ61" s="1"/>
      <c r="BA61" s="1"/>
      <c r="BB61" s="1">
        <v>15</v>
      </c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>
        <v>33</v>
      </c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>
        <v>24</v>
      </c>
      <c r="CA61" s="1"/>
      <c r="CB61" s="1"/>
      <c r="CC61" s="1"/>
      <c r="CD61" s="1"/>
      <c r="CE61" s="1"/>
      <c r="CF61" s="1">
        <v>23</v>
      </c>
      <c r="CG61" s="1"/>
      <c r="CH61" s="1"/>
      <c r="CI61" s="1"/>
      <c r="CJ61" s="1"/>
      <c r="CK61" s="1"/>
      <c r="CL61" s="1">
        <v>32</v>
      </c>
      <c r="CM61" s="1"/>
      <c r="CN61" s="1"/>
      <c r="CO61" s="1"/>
      <c r="CP61" s="1"/>
      <c r="CQ61" s="1"/>
      <c r="CR61" s="1">
        <v>34</v>
      </c>
      <c r="CS61" s="1"/>
      <c r="CT61" s="1"/>
      <c r="CU61" s="1"/>
      <c r="CV61" s="1"/>
      <c r="CW61" s="1"/>
      <c r="CX61" s="1">
        <v>60</v>
      </c>
      <c r="CY61" s="1"/>
      <c r="CZ61" s="1"/>
      <c r="DA61" s="1"/>
      <c r="DB61" s="1">
        <v>60</v>
      </c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</row>
    <row r="62" spans="1:121">
      <c r="L62" s="186"/>
      <c r="CL62" s="186">
        <v>23</v>
      </c>
    </row>
  </sheetData>
  <dataConsolidate/>
  <mergeCells count="16">
    <mergeCell ref="CR1:CW1"/>
    <mergeCell ref="BN1:BS1"/>
    <mergeCell ref="BT1:BY1"/>
    <mergeCell ref="BZ1:CE1"/>
    <mergeCell ref="CF1:CK1"/>
    <mergeCell ref="CL1:CQ1"/>
    <mergeCell ref="AJ1:AO1"/>
    <mergeCell ref="AP1:AU1"/>
    <mergeCell ref="AV1:BA1"/>
    <mergeCell ref="BB1:BG1"/>
    <mergeCell ref="BH1:BM1"/>
    <mergeCell ref="F1:K1"/>
    <mergeCell ref="L1:Q1"/>
    <mergeCell ref="R1:W1"/>
    <mergeCell ref="X1:AC1"/>
    <mergeCell ref="AD1:AI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tabSelected="1" topLeftCell="A7" workbookViewId="0">
      <selection activeCell="I14" sqref="I14"/>
    </sheetView>
  </sheetViews>
  <sheetFormatPr baseColWidth="10" defaultRowHeight="15"/>
  <cols>
    <col min="1" max="1" width="23.28515625" customWidth="1"/>
    <col min="2" max="2" width="6.7109375" customWidth="1"/>
    <col min="3" max="3" width="6.42578125" customWidth="1"/>
    <col min="4" max="4" width="6.28515625" bestFit="1" customWidth="1"/>
    <col min="5" max="5" width="6.7109375" customWidth="1"/>
  </cols>
  <sheetData>
    <row r="1" spans="1:5">
      <c r="A1" s="188" t="s">
        <v>89</v>
      </c>
      <c r="B1" s="188"/>
      <c r="C1" s="189"/>
      <c r="D1" s="189"/>
    </row>
    <row r="2" spans="1:5">
      <c r="A2" s="188" t="s">
        <v>220</v>
      </c>
      <c r="B2" s="188"/>
      <c r="C2" s="189"/>
      <c r="D2" s="189"/>
    </row>
    <row r="3" spans="1:5">
      <c r="A3" s="188" t="s">
        <v>221</v>
      </c>
      <c r="B3" s="188"/>
      <c r="C3" s="189"/>
      <c r="D3" s="189"/>
      <c r="E3" s="190"/>
    </row>
    <row r="4" spans="1:5" ht="15.75" thickBot="1">
      <c r="A4" s="188" t="s">
        <v>90</v>
      </c>
      <c r="B4" s="191" t="str">
        <f>Feuil1!I5</f>
        <v>KAPALATI MAYIMI</v>
      </c>
      <c r="C4" s="191"/>
      <c r="D4" s="191"/>
      <c r="E4" s="191"/>
    </row>
    <row r="5" spans="1:5" ht="15.75" thickBot="1">
      <c r="A5" s="209" t="str">
        <f>Feuil1!G7</f>
        <v>3ème ELELECT</v>
      </c>
      <c r="B5" s="192" t="s">
        <v>13</v>
      </c>
      <c r="C5" s="193"/>
      <c r="D5" s="193"/>
      <c r="E5" s="194"/>
    </row>
    <row r="6" spans="1:5" ht="15.75" thickBot="1">
      <c r="A6" s="195" t="s">
        <v>222</v>
      </c>
      <c r="B6" s="196" t="s">
        <v>223</v>
      </c>
      <c r="C6" s="197"/>
      <c r="D6" s="198" t="s">
        <v>224</v>
      </c>
      <c r="E6" s="199" t="s">
        <v>19</v>
      </c>
    </row>
    <row r="7" spans="1:5" ht="15.75" thickBot="1">
      <c r="A7" s="200"/>
      <c r="B7" s="201" t="s">
        <v>225</v>
      </c>
      <c r="C7" s="201" t="s">
        <v>226</v>
      </c>
      <c r="D7" s="199" t="s">
        <v>227</v>
      </c>
      <c r="E7" s="199"/>
    </row>
    <row r="8" spans="1:5" ht="15.75" thickBot="1">
      <c r="A8" s="202" t="s">
        <v>228</v>
      </c>
      <c r="B8" s="203"/>
      <c r="C8" s="204"/>
      <c r="D8" s="205"/>
      <c r="E8" s="205"/>
    </row>
    <row r="9" spans="1:5" ht="15.75" thickBot="1">
      <c r="A9" s="206" t="str">
        <f>Feuil1!A14</f>
        <v>RELIGION</v>
      </c>
      <c r="B9" s="201">
        <v>10</v>
      </c>
      <c r="C9" s="207">
        <f>Feuil1!B14</f>
        <v>3</v>
      </c>
      <c r="D9" s="205"/>
      <c r="E9" s="205"/>
    </row>
    <row r="10" spans="1:5" ht="15.75" thickBot="1">
      <c r="A10" s="206" t="str">
        <f>Feuil1!A15</f>
        <v>CIVISME</v>
      </c>
      <c r="B10" s="201">
        <v>10</v>
      </c>
      <c r="C10" s="207">
        <f>Feuil1!B15</f>
        <v>4</v>
      </c>
      <c r="D10" s="205"/>
      <c r="E10" s="205"/>
    </row>
    <row r="11" spans="1:5" ht="15.75" thickBot="1">
      <c r="A11" s="206" t="str">
        <f>Feuil1!A16</f>
        <v xml:space="preserve">EDUCATION A LA VIE </v>
      </c>
      <c r="B11" s="201">
        <v>10</v>
      </c>
      <c r="C11" s="207">
        <f>Feuil1!B16</f>
        <v>6</v>
      </c>
      <c r="D11" s="205"/>
      <c r="E11" s="205"/>
    </row>
    <row r="12" spans="1:5" ht="15.75" thickBot="1">
      <c r="A12" s="206" t="str">
        <f>Feuil1!A18</f>
        <v xml:space="preserve">ANGLAIS </v>
      </c>
      <c r="B12" s="201">
        <v>20</v>
      </c>
      <c r="C12" s="207">
        <f>Feuil1!B18</f>
        <v>13</v>
      </c>
      <c r="D12" s="205"/>
      <c r="E12" s="205"/>
    </row>
    <row r="13" spans="1:5" ht="15.75" thickBot="1">
      <c r="A13" s="206" t="str">
        <f>Feuil1!A19</f>
        <v>INFORMATIQUE</v>
      </c>
      <c r="B13" s="201">
        <v>20</v>
      </c>
      <c r="C13" s="207">
        <f>Feuil1!B19</f>
        <v>13</v>
      </c>
      <c r="D13" s="205"/>
      <c r="E13" s="205"/>
    </row>
    <row r="14" spans="1:5" ht="15.75" thickBot="1">
      <c r="A14" s="206" t="str">
        <f>Feuil1!A20</f>
        <v>ELECTRONIQUE+ LABO</v>
      </c>
      <c r="B14" s="201">
        <v>20</v>
      </c>
      <c r="C14" s="207">
        <f>Feuil1!B20</f>
        <v>12</v>
      </c>
      <c r="D14" s="205"/>
      <c r="E14" s="205"/>
    </row>
    <row r="15" spans="1:5" ht="15.75" thickBot="1">
      <c r="A15" s="206" t="str">
        <f>Feuil1!A21</f>
        <v>EDUCATION  PHYSIQUE</v>
      </c>
      <c r="B15" s="201">
        <v>20</v>
      </c>
      <c r="C15" s="207">
        <f>Feuil1!B21</f>
        <v>12</v>
      </c>
      <c r="D15" s="205"/>
      <c r="E15" s="205"/>
    </row>
    <row r="16" spans="1:5" ht="15.75" thickBot="1">
      <c r="A16" s="206" t="str">
        <f>Feuil1!A22</f>
        <v>ACTUALITE</v>
      </c>
      <c r="B16" s="201">
        <v>20</v>
      </c>
      <c r="C16" s="207">
        <f>Feuil1!B22</f>
        <v>14</v>
      </c>
      <c r="D16" s="205"/>
      <c r="E16" s="205"/>
    </row>
    <row r="17" spans="1:5" ht="15.75" thickBot="1">
      <c r="A17" s="206" t="str">
        <f>Feuil1!A23</f>
        <v xml:space="preserve">INSTRUMENTS </v>
      </c>
      <c r="B17" s="201">
        <v>20</v>
      </c>
      <c r="C17" s="207">
        <f>Feuil1!B23</f>
        <v>13</v>
      </c>
      <c r="D17" s="205"/>
      <c r="E17" s="205"/>
    </row>
    <row r="18" spans="1:5" ht="23.25" thickBot="1">
      <c r="A18" s="206" t="str">
        <f>Feuil1!A24</f>
        <v>RESISTANCE DE MATERIAUX</v>
      </c>
      <c r="B18" s="201">
        <v>20</v>
      </c>
      <c r="C18" s="207">
        <f>Feuil1!B24</f>
        <v>7</v>
      </c>
      <c r="D18" s="205"/>
      <c r="E18" s="205"/>
    </row>
    <row r="19" spans="1:5" ht="15.75" thickBot="1">
      <c r="A19" s="206" t="str">
        <f>Feuil1!A30</f>
        <v xml:space="preserve">DESSIN D'ELECTRIICITE </v>
      </c>
      <c r="B19" s="201">
        <v>40</v>
      </c>
      <c r="C19" s="207">
        <f>Feuil1!B30</f>
        <v>32</v>
      </c>
      <c r="D19" s="205"/>
      <c r="E19" s="205"/>
    </row>
    <row r="20" spans="1:5" ht="15.75" thickBot="1">
      <c r="A20" s="206" t="str">
        <f>Feuil1!A32</f>
        <v>ELECTRICITE GENERALE</v>
      </c>
      <c r="B20" s="201">
        <v>40</v>
      </c>
      <c r="C20" s="207">
        <f>Feuil1!B32</f>
        <v>36</v>
      </c>
      <c r="D20" s="205"/>
      <c r="E20" s="205"/>
    </row>
    <row r="21" spans="1:5" ht="15.75" thickBot="1">
      <c r="A21" s="206" t="str">
        <f>Feuil1!A33</f>
        <v xml:space="preserve">MACHINES ELECTRIQUES </v>
      </c>
      <c r="B21" s="201">
        <v>40</v>
      </c>
      <c r="C21" s="207">
        <f>Feuil1!B33</f>
        <v>30</v>
      </c>
      <c r="D21" s="205"/>
      <c r="E21" s="205"/>
    </row>
    <row r="22" spans="1:5" ht="15.75" thickBot="1">
      <c r="A22" s="206" t="str">
        <f>Feuil1!A34</f>
        <v xml:space="preserve">TECHNO-ELECTRICITE </v>
      </c>
      <c r="B22" s="201">
        <v>40</v>
      </c>
      <c r="C22" s="207">
        <f>Feuil1!B34</f>
        <v>24</v>
      </c>
      <c r="D22" s="205"/>
      <c r="E22" s="205"/>
    </row>
    <row r="23" spans="1:5" ht="15.75" thickBot="1">
      <c r="A23" s="206" t="str">
        <f>Feuil1!A38</f>
        <v xml:space="preserve">FRANCAIS  </v>
      </c>
      <c r="B23" s="201">
        <v>50</v>
      </c>
      <c r="C23" s="207">
        <f>Feuil1!B38</f>
        <v>25</v>
      </c>
      <c r="D23" s="205"/>
      <c r="E23" s="205"/>
    </row>
    <row r="24" spans="1:5" ht="15.75" thickBot="1">
      <c r="A24" s="206" t="str">
        <f>Feuil1!A39</f>
        <v xml:space="preserve">MATHEMATIQUE </v>
      </c>
      <c r="B24" s="201">
        <v>50</v>
      </c>
      <c r="C24" s="207">
        <f>Feuil1!B39</f>
        <v>29</v>
      </c>
      <c r="D24" s="205"/>
      <c r="E24" s="205"/>
    </row>
    <row r="25" spans="1:5" ht="15.75" thickBot="1">
      <c r="A25" s="206" t="str">
        <f>Feuil1!A42</f>
        <v>Atelier Electricite</v>
      </c>
      <c r="B25" s="201">
        <v>100</v>
      </c>
      <c r="C25" s="207">
        <f>Feuil1!B42</f>
        <v>60</v>
      </c>
      <c r="D25" s="205"/>
      <c r="E25" s="205"/>
    </row>
    <row r="26" spans="1:5" ht="15.75" thickBot="1">
      <c r="A26" s="206" t="str">
        <f>Feuil1!A43</f>
        <v xml:space="preserve">Labo  Electrique </v>
      </c>
      <c r="B26" s="201">
        <v>100</v>
      </c>
      <c r="C26" s="207">
        <f>Feuil1!B43</f>
        <v>60</v>
      </c>
      <c r="D26" s="205"/>
      <c r="E26" s="205"/>
    </row>
    <row r="27" spans="1:5" ht="15.75" thickBot="1">
      <c r="A27" s="202" t="s">
        <v>229</v>
      </c>
      <c r="B27" s="207">
        <f>Feuil1!B44</f>
        <v>630</v>
      </c>
      <c r="C27" s="208"/>
      <c r="D27" s="205"/>
      <c r="E27" s="205"/>
    </row>
    <row r="28" spans="1:5" ht="15.75" thickBot="1">
      <c r="A28" s="202" t="s">
        <v>230</v>
      </c>
      <c r="B28" s="208"/>
      <c r="C28" s="207">
        <f>Feuil1!B45</f>
        <v>393</v>
      </c>
      <c r="D28" s="205"/>
      <c r="E28" s="205"/>
    </row>
    <row r="29" spans="1:5" ht="15.75" thickBot="1">
      <c r="A29" s="202" t="s">
        <v>231</v>
      </c>
      <c r="B29" s="207"/>
      <c r="C29" s="207"/>
      <c r="D29" s="205"/>
      <c r="E29" s="205"/>
    </row>
    <row r="30" spans="1:5" ht="15.75" thickBot="1">
      <c r="A30" s="202" t="s">
        <v>40</v>
      </c>
      <c r="B30" s="207"/>
      <c r="C30" s="207"/>
      <c r="D30" s="205"/>
      <c r="E30" s="205"/>
    </row>
    <row r="31" spans="1:5" ht="15.75" thickBot="1">
      <c r="A31" s="202" t="s">
        <v>31</v>
      </c>
      <c r="B31" s="208"/>
      <c r="C31" s="207">
        <f>Feuil1!B46</f>
        <v>62.38095238095238</v>
      </c>
      <c r="D31" s="205"/>
      <c r="E31" s="205"/>
    </row>
  </sheetData>
  <mergeCells count="3">
    <mergeCell ref="B5:E5"/>
    <mergeCell ref="B6:C6"/>
    <mergeCell ref="B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Feuil1</vt:lpstr>
      <vt:lpstr>LISTE DES ELEVES</vt:lpstr>
      <vt:lpstr>Feuil3</vt:lpstr>
      <vt:lpstr>Feuil2</vt:lpstr>
      <vt:lpstr>'LISTE DES ELEVES'!LISTE</vt:lpstr>
      <vt:lpstr>'LISTE DES ELEVES'!NOM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NAMENE  HERVE</dc:creator>
  <cp:lastModifiedBy>NAMENE  HERVE</cp:lastModifiedBy>
  <dcterms:created xsi:type="dcterms:W3CDTF">2025-11-04T11:11:28Z</dcterms:created>
  <dcterms:modified xsi:type="dcterms:W3CDTF">2025-11-18T19:50:46Z</dcterms:modified>
</cp:coreProperties>
</file>